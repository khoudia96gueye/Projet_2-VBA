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meth\Desktop\Projet_2 VBA\"/>
    </mc:Choice>
  </mc:AlternateContent>
  <bookViews>
    <workbookView xWindow="0" yWindow="0" windowWidth="20490" windowHeight="7755"/>
  </bookViews>
  <sheets>
    <sheet name="acceuil" sheetId="17" r:id="rId1"/>
    <sheet name="Feuil1" sheetId="1" r:id="rId2"/>
    <sheet name="brastrait" sheetId="2" r:id="rId3"/>
    <sheet name="sexe" sheetId="3" r:id="rId4"/>
    <sheet name="restg" sheetId="4" r:id="rId5"/>
    <sheet name="gepaisse" sheetId="5" r:id="rId6"/>
    <sheet name="spot_sang" sheetId="6" r:id="rId7"/>
    <sheet name="eindes" sheetId="7" r:id="rId8"/>
    <sheet name="intensite" sheetId="8" r:id="rId9"/>
    <sheet name="gravite" sheetId="9" r:id="rId10"/>
    <sheet name="actpriseel" sheetId="10" r:id="rId11"/>
    <sheet name="devsuiteel" sheetId="11" r:id="rId12"/>
    <sheet name="relavectrait" sheetId="12" r:id="rId13"/>
    <sheet name="tableau maigreur et surpoids" sheetId="13" r:id="rId14"/>
    <sheet name="graphique" sheetId="14" r:id="rId15"/>
    <sheet name="grapheMedic" sheetId="15" r:id="rId16"/>
    <sheet name="nuage_de_points" sheetId="16" r:id="rId17"/>
  </sheets>
  <definedNames>
    <definedName name="_xlnm._FilterDatabase" localSheetId="1" hidden="1">Feuil1!$L$1:$L$300</definedName>
    <definedName name="_xlnm._FilterDatabase" localSheetId="15" hidden="1">grapheMedic!$H$1:$H$101</definedName>
    <definedName name="_xlnm.Criteria" localSheetId="1">Feuil1!$L:$L</definedName>
    <definedName name="listDonnees">Feuil1!$A$1:$V$101</definedName>
  </definedNames>
  <calcPr calcId="152511"/>
</workbook>
</file>

<file path=xl/calcChain.xml><?xml version="1.0" encoding="utf-8"?>
<calcChain xmlns="http://schemas.openxmlformats.org/spreadsheetml/2006/main">
  <c r="B3" i="15" l="1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2" i="15"/>
  <c r="B38" i="15" s="1"/>
  <c r="Y21" i="13"/>
  <c r="Y22" i="13"/>
</calcChain>
</file>

<file path=xl/sharedStrings.xml><?xml version="1.0" encoding="utf-8"?>
<sst xmlns="http://schemas.openxmlformats.org/spreadsheetml/2006/main" count="2555" uniqueCount="259">
  <si>
    <t>IdPatient</t>
  </si>
  <si>
    <t>BratTrait</t>
  </si>
  <si>
    <t>Sexe</t>
  </si>
  <si>
    <t>DateNais</t>
  </si>
  <si>
    <t>Taille</t>
  </si>
  <si>
    <t>Poids</t>
  </si>
  <si>
    <t>ResTG</t>
  </si>
  <si>
    <t>GEpaisse</t>
  </si>
  <si>
    <t>Pstemie</t>
  </si>
  <si>
    <t>Spot_Sang</t>
  </si>
  <si>
    <t>Elndes</t>
  </si>
  <si>
    <t>Medic</t>
  </si>
  <si>
    <t>DescrEL</t>
  </si>
  <si>
    <t>Date_Debut</t>
  </si>
  <si>
    <t>Date_Fin</t>
  </si>
  <si>
    <t>Intensite</t>
  </si>
  <si>
    <t>Gravite</t>
  </si>
  <si>
    <t>ActPriseEL</t>
  </si>
  <si>
    <t>DevSuiteEL</t>
  </si>
  <si>
    <t>RelAvecTrait</t>
  </si>
  <si>
    <t>Gauche</t>
  </si>
  <si>
    <t>Droite</t>
  </si>
  <si>
    <t>Masculin</t>
  </si>
  <si>
    <t>Feminin</t>
  </si>
  <si>
    <t>Positif</t>
  </si>
  <si>
    <t>Negatif</t>
  </si>
  <si>
    <t>Non Attribuable</t>
  </si>
  <si>
    <t>Oui</t>
  </si>
  <si>
    <t>Non</t>
  </si>
  <si>
    <t>Legère</t>
  </si>
  <si>
    <t>Modéré</t>
  </si>
  <si>
    <t>Sévère</t>
  </si>
  <si>
    <t>Grave</t>
  </si>
  <si>
    <t>Non Grave</t>
  </si>
  <si>
    <t>Dose Reduite</t>
  </si>
  <si>
    <t>Hospitalisation</t>
  </si>
  <si>
    <t>Autre Médicament</t>
  </si>
  <si>
    <t>Aucune Action</t>
  </si>
  <si>
    <t>Resolu</t>
  </si>
  <si>
    <t>Non Resolu</t>
  </si>
  <si>
    <t>Décés</t>
  </si>
  <si>
    <t>Sequelles</t>
  </si>
  <si>
    <t>En Cours de Resolution</t>
  </si>
  <si>
    <t>Inconnu</t>
  </si>
  <si>
    <t>Possible</t>
  </si>
  <si>
    <t xml:space="preserve">Ne sait pas </t>
  </si>
  <si>
    <t>IMC</t>
  </si>
  <si>
    <t>Nature</t>
  </si>
  <si>
    <t>20/01/2004</t>
  </si>
  <si>
    <t>20/02/2010</t>
  </si>
  <si>
    <t>none</t>
  </si>
  <si>
    <t>Doliprane</t>
  </si>
  <si>
    <t>Toux</t>
  </si>
  <si>
    <t>20/12/1999</t>
  </si>
  <si>
    <t>None</t>
  </si>
  <si>
    <t>Ventoline</t>
  </si>
  <si>
    <t>Respiration aigue</t>
  </si>
  <si>
    <t>20/05/2019</t>
  </si>
  <si>
    <t>20/06/2019</t>
  </si>
  <si>
    <t>poids normal</t>
  </si>
  <si>
    <t>Aspirine</t>
  </si>
  <si>
    <t>Vision Floue</t>
  </si>
  <si>
    <t>surpoids</t>
  </si>
  <si>
    <t>01/01/1990</t>
  </si>
  <si>
    <t>02/01/2000</t>
  </si>
  <si>
    <t>12/01/2000</t>
  </si>
  <si>
    <t>Eri</t>
  </si>
  <si>
    <t>Vertiges, naussées</t>
  </si>
  <si>
    <t>25/03/2019</t>
  </si>
  <si>
    <t>30/03/2019</t>
  </si>
  <si>
    <t>20/03/1991</t>
  </si>
  <si>
    <t>Genset</t>
  </si>
  <si>
    <t>Démangeaison</t>
  </si>
  <si>
    <t>15/10/2019</t>
  </si>
  <si>
    <t>Méquitazine</t>
  </si>
  <si>
    <t>Hypertension</t>
  </si>
  <si>
    <t>25/12/2019</t>
  </si>
  <si>
    <t>obésité moderée</t>
  </si>
  <si>
    <t>20/10/1999</t>
  </si>
  <si>
    <t>Mallox</t>
  </si>
  <si>
    <t>Constipation</t>
  </si>
  <si>
    <t>22/09/2019</t>
  </si>
  <si>
    <t>maigreur</t>
  </si>
  <si>
    <t>25/04/1979</t>
  </si>
  <si>
    <t>Allergine</t>
  </si>
  <si>
    <t>Problemes respiratoire</t>
  </si>
  <si>
    <t>23/05/2019</t>
  </si>
  <si>
    <t>Hémorragie</t>
  </si>
  <si>
    <t>23/03/2019</t>
  </si>
  <si>
    <t>Vertige</t>
  </si>
  <si>
    <t>28/10/2002</t>
  </si>
  <si>
    <t>Gaviscon</t>
  </si>
  <si>
    <t>Ballonement</t>
  </si>
  <si>
    <t>19/12/2019</t>
  </si>
  <si>
    <t>dénutrition ou anorexie</t>
  </si>
  <si>
    <t>28/10/2000</t>
  </si>
  <si>
    <t>Omegen</t>
  </si>
  <si>
    <t>19/01/2019</t>
  </si>
  <si>
    <t>Fébrilex</t>
  </si>
  <si>
    <t>Vomissement</t>
  </si>
  <si>
    <t>14/04/2019</t>
  </si>
  <si>
    <t>Antinorex</t>
  </si>
  <si>
    <t>Vertiges, Fatigue</t>
  </si>
  <si>
    <t>Flagyl</t>
  </si>
  <si>
    <t>Brulures d'estomac</t>
  </si>
  <si>
    <t>obésité sévère</t>
  </si>
  <si>
    <t>Héliconacter</t>
  </si>
  <si>
    <t>Hémorragie Digestive</t>
  </si>
  <si>
    <t>Ubiprofene</t>
  </si>
  <si>
    <t>Vertiges</t>
  </si>
  <si>
    <t>10/0/2019</t>
  </si>
  <si>
    <t>Perfalgan</t>
  </si>
  <si>
    <t>Temblements</t>
  </si>
  <si>
    <t>Amoxiciline</t>
  </si>
  <si>
    <t>27/06/2019</t>
  </si>
  <si>
    <t>30/06/2019</t>
  </si>
  <si>
    <t>10/01/1989</t>
  </si>
  <si>
    <t>09/01/1970</t>
  </si>
  <si>
    <t>09/01/1990</t>
  </si>
  <si>
    <t>01/02/1991</t>
  </si>
  <si>
    <t>01/10/2001</t>
  </si>
  <si>
    <t>01/10/1987</t>
  </si>
  <si>
    <t>01/10/1957</t>
  </si>
  <si>
    <t>01/10/1980</t>
  </si>
  <si>
    <t>01/10/1989</t>
  </si>
  <si>
    <t>01/10/2005</t>
  </si>
  <si>
    <t>Eferalgan</t>
  </si>
  <si>
    <t>Somnolence</t>
  </si>
  <si>
    <t>24/04/1964</t>
  </si>
  <si>
    <t>Dynamogéne</t>
  </si>
  <si>
    <t>30/12/2019</t>
  </si>
  <si>
    <t>24/04/1997</t>
  </si>
  <si>
    <t>Antadys</t>
  </si>
  <si>
    <t>Crampes Musculaires</t>
  </si>
  <si>
    <t>25/02/2019</t>
  </si>
  <si>
    <t>29/02/2019</t>
  </si>
  <si>
    <t>27/04/1997</t>
  </si>
  <si>
    <t>Novalgin</t>
  </si>
  <si>
    <t>Difficulté respiratoire</t>
  </si>
  <si>
    <t>obésité morbide ou massive</t>
  </si>
  <si>
    <t>27/04/1965</t>
  </si>
  <si>
    <t>Sérédite</t>
  </si>
  <si>
    <t>25/09/2019</t>
  </si>
  <si>
    <t>20/10/2019</t>
  </si>
  <si>
    <t>20/11/2019</t>
  </si>
  <si>
    <t>Hallucinations</t>
  </si>
  <si>
    <t>Paracétamol</t>
  </si>
  <si>
    <t>Naussées</t>
  </si>
  <si>
    <t>Omégen</t>
  </si>
  <si>
    <t>Ballonements</t>
  </si>
  <si>
    <t>27/02/2019</t>
  </si>
  <si>
    <t>30/02/2019</t>
  </si>
  <si>
    <t>28/10/1996</t>
  </si>
  <si>
    <t>27/07/2019</t>
  </si>
  <si>
    <t>28/10/1990</t>
  </si>
  <si>
    <t>Bipreterax</t>
  </si>
  <si>
    <t>Accélération rythme cardiaque</t>
  </si>
  <si>
    <t>15/07/2019</t>
  </si>
  <si>
    <t>Erruption Cutanée</t>
  </si>
  <si>
    <t>21/07/2019</t>
  </si>
  <si>
    <t>Erruption cutanée</t>
  </si>
  <si>
    <t>15/04/1989</t>
  </si>
  <si>
    <t>Ilax</t>
  </si>
  <si>
    <t>Vomissements</t>
  </si>
  <si>
    <t>19/04/1989</t>
  </si>
  <si>
    <t>17/07/2019</t>
  </si>
  <si>
    <t>19/04/1970</t>
  </si>
  <si>
    <t>Crampe Musculaire</t>
  </si>
  <si>
    <t>17/09/2019</t>
  </si>
  <si>
    <t>21/09/2019</t>
  </si>
  <si>
    <t>19/04/1956</t>
  </si>
  <si>
    <t>15/09/2019</t>
  </si>
  <si>
    <t>19/09/2019</t>
  </si>
  <si>
    <t>19/04/1948</t>
  </si>
  <si>
    <t>Alvityl</t>
  </si>
  <si>
    <t>15/12/2019</t>
  </si>
  <si>
    <t>31/12/2019</t>
  </si>
  <si>
    <t>30/07/1952</t>
  </si>
  <si>
    <t>Magnésium</t>
  </si>
  <si>
    <t>Crampes</t>
  </si>
  <si>
    <t>14/12/2019</t>
  </si>
  <si>
    <t>31/01/1999</t>
  </si>
  <si>
    <t>25/05/1957</t>
  </si>
  <si>
    <t>Tremblements</t>
  </si>
  <si>
    <t>Dilatation des papilles</t>
  </si>
  <si>
    <t>Céphalées</t>
  </si>
  <si>
    <t>18/05/1990</t>
  </si>
  <si>
    <t>18/11/1990</t>
  </si>
  <si>
    <t>Maalox</t>
  </si>
  <si>
    <t>26/11/1990</t>
  </si>
  <si>
    <t>20/01/2019</t>
  </si>
  <si>
    <t>24/11/2019</t>
  </si>
  <si>
    <t>20/01/2007</t>
  </si>
  <si>
    <t>25/11/2049</t>
  </si>
  <si>
    <t>27/11/2019</t>
  </si>
  <si>
    <t>20/03/2001</t>
  </si>
  <si>
    <t>25/11/2019</t>
  </si>
  <si>
    <t>30/11/2019</t>
  </si>
  <si>
    <t>20/03/2010</t>
  </si>
  <si>
    <t>Bioreterax</t>
  </si>
  <si>
    <t>hallucinations</t>
  </si>
  <si>
    <t>25/01/2019</t>
  </si>
  <si>
    <t>14/02/1999</t>
  </si>
  <si>
    <t>14/02/1978</t>
  </si>
  <si>
    <t>15/01/2019</t>
  </si>
  <si>
    <t>24/02/1978</t>
  </si>
  <si>
    <t>15/02/2019</t>
  </si>
  <si>
    <t>21/02/2019</t>
  </si>
  <si>
    <t>24/02/1958</t>
  </si>
  <si>
    <t>Probleme respiratoire</t>
  </si>
  <si>
    <t>15/03/2019</t>
  </si>
  <si>
    <t>21/04/2019</t>
  </si>
  <si>
    <t>24/02/1992</t>
  </si>
  <si>
    <t>22/03/2019</t>
  </si>
  <si>
    <t>Litacold</t>
  </si>
  <si>
    <t>22/09/1998</t>
  </si>
  <si>
    <t>Séretide</t>
  </si>
  <si>
    <t>Sérétide</t>
  </si>
  <si>
    <t>22/11/2019</t>
  </si>
  <si>
    <t>22/09/1951</t>
  </si>
  <si>
    <t>Séridite</t>
  </si>
  <si>
    <t>22/09/1986</t>
  </si>
  <si>
    <t>Démangeaisons</t>
  </si>
  <si>
    <t>Allergines</t>
  </si>
  <si>
    <t>22/09/1993</t>
  </si>
  <si>
    <t>22/07/2019</t>
  </si>
  <si>
    <t>25/07/2019</t>
  </si>
  <si>
    <t>22/09/1190</t>
  </si>
  <si>
    <t>22/09/1990</t>
  </si>
  <si>
    <t>22/12/2019</t>
  </si>
  <si>
    <t>22/09/2005</t>
  </si>
  <si>
    <t>22/09/2015</t>
  </si>
  <si>
    <t>22/09/2000</t>
  </si>
  <si>
    <t>21/01/2020</t>
  </si>
  <si>
    <t>22/09/1995</t>
  </si>
  <si>
    <t>Diarrhée</t>
  </si>
  <si>
    <t>Crampes pulmonaires</t>
  </si>
  <si>
    <t>21/12/2019</t>
  </si>
  <si>
    <t>22/09/1981</t>
  </si>
  <si>
    <t>23/10/1991</t>
  </si>
  <si>
    <t>Augmentation rythme cardiaque</t>
  </si>
  <si>
    <t>23/06/1949</t>
  </si>
  <si>
    <t>16/09/2019</t>
  </si>
  <si>
    <t>Enfflements</t>
  </si>
  <si>
    <t>20/02/2019</t>
  </si>
  <si>
    <t>25/04/2019</t>
  </si>
  <si>
    <t>Bipretax</t>
  </si>
  <si>
    <t>accélération rythme cardiaque</t>
  </si>
  <si>
    <t>22/08/2019</t>
  </si>
  <si>
    <t>Fatigue</t>
  </si>
  <si>
    <t>15/04/2019</t>
  </si>
  <si>
    <t>18/04/2019</t>
  </si>
  <si>
    <t>15/11/2019</t>
  </si>
  <si>
    <t>27/10/2019</t>
  </si>
  <si>
    <t>30/1082019</t>
  </si>
  <si>
    <t>nombre</t>
  </si>
  <si>
    <t>Febrilex</t>
  </si>
  <si>
    <t>Nombre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</si>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</sst>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0" xfId="0" applyBorder="1"/>
    <xf numFmtId="0" fontId="0" fillId="0" borderId="8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4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sz="1600" i="1"/>
              <a:t>Part des maigreurs et surpoids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11336713398630048"/>
          <c:y val="0"/>
        </c:manualLayout>
      </c:layout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2500000000000001"/>
          <c:y val="0.2452548118985127"/>
          <c:w val="0.77232020997375328"/>
          <c:h val="0.75474518810148727"/>
        </c:manualLayout>
      </c:layout>
      <c:pie3DChart>
        <c:varyColors val="1"/>
        <c:ser>
          <c:idx val="0"/>
          <c:order val="0"/>
          <c:tx>
            <c:strRef>
              <c:f>'tableau maigreur et surpoids'!$Y$20</c:f>
              <c:strCache>
                <c:ptCount val="1"/>
                <c:pt idx="0">
                  <c:v>nombre</c:v>
                </c:pt>
              </c:strCache>
            </c:strRef>
          </c:tx>
          <c:dPt>
            <c:idx val="0"/>
            <c:bubble3D val="0"/>
            <c:explosion val="21"/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'tableau maigreur et surpoids'!$X$21:$X$22</c:f>
              <c:strCache>
                <c:ptCount val="2"/>
                <c:pt idx="0">
                  <c:v>surpoids</c:v>
                </c:pt>
                <c:pt idx="1">
                  <c:v>maigreur</c:v>
                </c:pt>
              </c:strCache>
            </c:strRef>
          </c:cat>
          <c:val>
            <c:numRef>
              <c:f>'tableau maigreur et surpoids'!$Y$21:$Y$22</c:f>
              <c:numCache>
                <c:formatCode>General</c:formatCode>
                <c:ptCount val="2"/>
                <c:pt idx="0">
                  <c:v>31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tr"/>
      <c:legendEntry>
        <c:idx val="0"/>
        <c:txPr>
          <a:bodyPr/>
          <a:lstStyle/>
          <a:p>
            <a:pPr>
              <a:defRPr b="1" i="0" baseline="0"/>
            </a:pPr>
            <a:endParaRPr lang="fr-FR"/>
          </a:p>
        </c:txPr>
      </c:legendEntry>
      <c:legendEntry>
        <c:idx val="1"/>
        <c:txPr>
          <a:bodyPr/>
          <a:lstStyle/>
          <a:p>
            <a:pPr>
              <a:defRPr b="1" i="0" baseline="0"/>
            </a:pPr>
            <a:endParaRPr lang="fr-FR"/>
          </a:p>
        </c:txPr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Part Medic lié au nombre de patients</a:t>
            </a:r>
          </a:p>
        </c:rich>
      </c:tx>
      <c:layout>
        <c:manualLayout>
          <c:xMode val="edge"/>
          <c:yMode val="edge"/>
          <c:x val="0.30101729722346882"/>
          <c:y val="1.41242937853107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970397029947094E-2"/>
          <c:y val="0.10293846168857146"/>
          <c:w val="0.82763654959549715"/>
          <c:h val="0.712556079188986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grapheMedic!$B$1</c:f>
              <c:strCache>
                <c:ptCount val="1"/>
                <c:pt idx="0">
                  <c:v>Nombre</c:v>
                </c:pt>
              </c:strCache>
            </c:strRef>
          </c:tx>
          <c:invertIfNegative val="0"/>
          <c:cat>
            <c:strRef>
              <c:f>grapheMedic!$A$2:$A$37</c:f>
              <c:strCache>
                <c:ptCount val="36"/>
                <c:pt idx="0">
                  <c:v>Allergine</c:v>
                </c:pt>
                <c:pt idx="1">
                  <c:v>Allergines</c:v>
                </c:pt>
                <c:pt idx="2">
                  <c:v>Alvityl</c:v>
                </c:pt>
                <c:pt idx="3">
                  <c:v>Amoxiciline</c:v>
                </c:pt>
                <c:pt idx="4">
                  <c:v>Antadys</c:v>
                </c:pt>
                <c:pt idx="5">
                  <c:v>Antinorex</c:v>
                </c:pt>
                <c:pt idx="6">
                  <c:v>Aspirine</c:v>
                </c:pt>
                <c:pt idx="7">
                  <c:v>Bioreterax</c:v>
                </c:pt>
                <c:pt idx="8">
                  <c:v>Bipretax</c:v>
                </c:pt>
                <c:pt idx="9">
                  <c:v>Bipreterax</c:v>
                </c:pt>
                <c:pt idx="10">
                  <c:v>Doliprane</c:v>
                </c:pt>
                <c:pt idx="11">
                  <c:v>Dynamogéne</c:v>
                </c:pt>
                <c:pt idx="12">
                  <c:v>Eferalgan</c:v>
                </c:pt>
                <c:pt idx="13">
                  <c:v>Eri</c:v>
                </c:pt>
                <c:pt idx="14">
                  <c:v>Febrilex</c:v>
                </c:pt>
                <c:pt idx="15">
                  <c:v>Fébrilex</c:v>
                </c:pt>
                <c:pt idx="16">
                  <c:v>Flagyl</c:v>
                </c:pt>
                <c:pt idx="17">
                  <c:v>Gaviscon</c:v>
                </c:pt>
                <c:pt idx="18">
                  <c:v>Genset</c:v>
                </c:pt>
                <c:pt idx="19">
                  <c:v>Héliconacter</c:v>
                </c:pt>
                <c:pt idx="20">
                  <c:v>Ilax</c:v>
                </c:pt>
                <c:pt idx="21">
                  <c:v>Litacold</c:v>
                </c:pt>
                <c:pt idx="22">
                  <c:v>Maalox</c:v>
                </c:pt>
                <c:pt idx="23">
                  <c:v>Magnésium</c:v>
                </c:pt>
                <c:pt idx="24">
                  <c:v>Mallox</c:v>
                </c:pt>
                <c:pt idx="25">
                  <c:v>Méquitazine</c:v>
                </c:pt>
                <c:pt idx="26">
                  <c:v>Novalgin</c:v>
                </c:pt>
                <c:pt idx="27">
                  <c:v>Omegen</c:v>
                </c:pt>
                <c:pt idx="28">
                  <c:v>Omégen</c:v>
                </c:pt>
                <c:pt idx="29">
                  <c:v>Paracétamol</c:v>
                </c:pt>
                <c:pt idx="30">
                  <c:v>Perfalgan</c:v>
                </c:pt>
                <c:pt idx="31">
                  <c:v>Sérédite</c:v>
                </c:pt>
                <c:pt idx="32">
                  <c:v>Séretide</c:v>
                </c:pt>
                <c:pt idx="33">
                  <c:v>Sérétide</c:v>
                </c:pt>
                <c:pt idx="34">
                  <c:v>Ubiprofene</c:v>
                </c:pt>
                <c:pt idx="35">
                  <c:v>Ventoline</c:v>
                </c:pt>
              </c:strCache>
            </c:strRef>
          </c:cat>
          <c:val>
            <c:numRef>
              <c:f>grapheMedic!$B$2:$B$37</c:f>
              <c:numCache>
                <c:formatCode>General</c:formatCode>
                <c:ptCount val="36"/>
                <c:pt idx="0">
                  <c:v>6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14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1</c:v>
                </c:pt>
                <c:pt idx="17">
                  <c:v>4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9</c:v>
                </c:pt>
                <c:pt idx="32">
                  <c:v>1</c:v>
                </c:pt>
                <c:pt idx="33">
                  <c:v>1</c:v>
                </c:pt>
                <c:pt idx="34">
                  <c:v>3</c:v>
                </c:pt>
                <c:pt idx="35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7500704"/>
        <c:axId val="387501096"/>
      </c:barChart>
      <c:catAx>
        <c:axId val="387500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fr-FR" sz="1200"/>
                  <a:t>Medic</a:t>
                </a:r>
              </a:p>
            </c:rich>
          </c:tx>
          <c:layout>
            <c:manualLayout>
              <c:xMode val="edge"/>
              <c:yMode val="edge"/>
              <c:x val="0.90892195451618685"/>
              <c:y val="0.7794881889763780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387501096"/>
        <c:crosses val="autoZero"/>
        <c:auto val="1"/>
        <c:lblAlgn val="ctr"/>
        <c:lblOffset val="200"/>
        <c:tickLblSkip val="1"/>
        <c:noMultiLvlLbl val="0"/>
      </c:catAx>
      <c:valAx>
        <c:axId val="38750109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100"/>
                </a:pPr>
                <a:r>
                  <a:rPr lang="fr-FR" sz="1100"/>
                  <a:t>nombre</a:t>
                </a:r>
              </a:p>
            </c:rich>
          </c:tx>
          <c:layout>
            <c:manualLayout>
              <c:xMode val="edge"/>
              <c:yMode val="edge"/>
              <c:x val="4.2238643680566762E-2"/>
              <c:y val="1.057926969655109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87500704"/>
        <c:crossesAt val="1"/>
        <c:crossBetween val="between"/>
      </c:valAx>
      <c:spPr>
        <a:noFill/>
      </c:spPr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Nuage de points entre la taille et le poids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5.2685882231316865E-2"/>
          <c:y val="0.13982974755892741"/>
          <c:w val="0.82309597054877615"/>
          <c:h val="0.778899681335453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  <a:effectLst>
              <a:glow>
                <a:schemeClr val="bg1"/>
              </a:glow>
              <a:softEdge rad="0"/>
            </a:effectLst>
          </c:spPr>
          <c:marker>
            <c:symbol val="circle"/>
            <c:size val="7"/>
            <c:spPr>
              <a:solidFill>
                <a:srgbClr val="C00000"/>
              </a:solidFill>
              <a:effectLst>
                <a:glow>
                  <a:schemeClr val="bg1"/>
                </a:glow>
                <a:softEdge rad="0"/>
              </a:effectLst>
            </c:spPr>
          </c:marker>
          <c:xVal>
            <c:strRef>
              <c:f>nuage_de_points!$C$1:$C$100</c:f>
              <c:strCache>
                <c:ptCount val="100"/>
                <c:pt idx="0">
                  <c:v>Poids</c:v>
                </c:pt>
                <c:pt idx="1">
                  <c:v>55</c:v>
                </c:pt>
                <c:pt idx="2">
                  <c:v>70</c:v>
                </c:pt>
                <c:pt idx="3">
                  <c:v>80</c:v>
                </c:pt>
                <c:pt idx="4">
                  <c:v>76</c:v>
                </c:pt>
                <c:pt idx="5">
                  <c:v>93</c:v>
                </c:pt>
                <c:pt idx="6">
                  <c:v>90</c:v>
                </c:pt>
                <c:pt idx="7">
                  <c:v>55</c:v>
                </c:pt>
                <c:pt idx="8">
                  <c:v>91</c:v>
                </c:pt>
                <c:pt idx="9">
                  <c:v>60</c:v>
                </c:pt>
                <c:pt idx="10">
                  <c:v>110</c:v>
                </c:pt>
                <c:pt idx="11">
                  <c:v>45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110</c:v>
                </c:pt>
                <c:pt idx="16">
                  <c:v>58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25</c:v>
                </c:pt>
                <c:pt idx="21">
                  <c:v>95</c:v>
                </c:pt>
                <c:pt idx="22">
                  <c:v>55</c:v>
                </c:pt>
                <c:pt idx="23">
                  <c:v>115</c:v>
                </c:pt>
                <c:pt idx="24">
                  <c:v>115</c:v>
                </c:pt>
                <c:pt idx="25">
                  <c:v>65</c:v>
                </c:pt>
                <c:pt idx="26">
                  <c:v>62</c:v>
                </c:pt>
                <c:pt idx="27">
                  <c:v>69</c:v>
                </c:pt>
                <c:pt idx="28">
                  <c:v>80</c:v>
                </c:pt>
                <c:pt idx="29">
                  <c:v>101</c:v>
                </c:pt>
                <c:pt idx="30">
                  <c:v>46</c:v>
                </c:pt>
                <c:pt idx="31">
                  <c:v>89</c:v>
                </c:pt>
                <c:pt idx="32">
                  <c:v>89</c:v>
                </c:pt>
                <c:pt idx="33">
                  <c:v>54</c:v>
                </c:pt>
                <c:pt idx="34">
                  <c:v>54</c:v>
                </c:pt>
                <c:pt idx="35">
                  <c:v>76</c:v>
                </c:pt>
                <c:pt idx="36">
                  <c:v>103</c:v>
                </c:pt>
                <c:pt idx="37">
                  <c:v>76</c:v>
                </c:pt>
                <c:pt idx="38">
                  <c:v>90</c:v>
                </c:pt>
                <c:pt idx="39">
                  <c:v>96</c:v>
                </c:pt>
                <c:pt idx="40">
                  <c:v>87</c:v>
                </c:pt>
                <c:pt idx="41">
                  <c:v>62</c:v>
                </c:pt>
                <c:pt idx="42">
                  <c:v>68</c:v>
                </c:pt>
                <c:pt idx="43">
                  <c:v>65</c:v>
                </c:pt>
                <c:pt idx="44">
                  <c:v>65</c:v>
                </c:pt>
                <c:pt idx="45">
                  <c:v>76</c:v>
                </c:pt>
                <c:pt idx="46">
                  <c:v>76</c:v>
                </c:pt>
                <c:pt idx="47">
                  <c:v>86</c:v>
                </c:pt>
                <c:pt idx="48">
                  <c:v>80</c:v>
                </c:pt>
                <c:pt idx="49">
                  <c:v>87</c:v>
                </c:pt>
                <c:pt idx="50">
                  <c:v>87</c:v>
                </c:pt>
                <c:pt idx="51">
                  <c:v>20</c:v>
                </c:pt>
                <c:pt idx="52">
                  <c:v>42</c:v>
                </c:pt>
                <c:pt idx="53">
                  <c:v>68</c:v>
                </c:pt>
                <c:pt idx="54">
                  <c:v>104</c:v>
                </c:pt>
                <c:pt idx="55">
                  <c:v>110</c:v>
                </c:pt>
                <c:pt idx="56">
                  <c:v>89</c:v>
                </c:pt>
                <c:pt idx="57">
                  <c:v>93</c:v>
                </c:pt>
                <c:pt idx="58">
                  <c:v>93</c:v>
                </c:pt>
                <c:pt idx="59">
                  <c:v>65</c:v>
                </c:pt>
                <c:pt idx="60">
                  <c:v>65</c:v>
                </c:pt>
                <c:pt idx="61">
                  <c:v>71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61</c:v>
                </c:pt>
                <c:pt idx="71">
                  <c:v>61</c:v>
                </c:pt>
                <c:pt idx="72">
                  <c:v>61</c:v>
                </c:pt>
                <c:pt idx="73">
                  <c:v>61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56</c:v>
                </c:pt>
                <c:pt idx="82">
                  <c:v>40</c:v>
                </c:pt>
                <c:pt idx="83">
                  <c:v>51</c:v>
                </c:pt>
                <c:pt idx="84">
                  <c:v>51</c:v>
                </c:pt>
                <c:pt idx="85">
                  <c:v>71</c:v>
                </c:pt>
                <c:pt idx="86">
                  <c:v>71</c:v>
                </c:pt>
                <c:pt idx="87">
                  <c:v>71</c:v>
                </c:pt>
                <c:pt idx="88">
                  <c:v>71</c:v>
                </c:pt>
                <c:pt idx="89">
                  <c:v>81</c:v>
                </c:pt>
                <c:pt idx="90">
                  <c:v>91</c:v>
                </c:pt>
                <c:pt idx="91">
                  <c:v>91</c:v>
                </c:pt>
                <c:pt idx="92">
                  <c:v>72</c:v>
                </c:pt>
                <c:pt idx="93">
                  <c:v>59</c:v>
                </c:pt>
                <c:pt idx="94">
                  <c:v>91</c:v>
                </c:pt>
                <c:pt idx="95">
                  <c:v>54</c:v>
                </c:pt>
                <c:pt idx="96">
                  <c:v>84</c:v>
                </c:pt>
                <c:pt idx="97">
                  <c:v>84</c:v>
                </c:pt>
                <c:pt idx="98">
                  <c:v>96</c:v>
                </c:pt>
                <c:pt idx="99">
                  <c:v>61</c:v>
                </c:pt>
              </c:strCache>
            </c:strRef>
          </c:xVal>
          <c:yVal>
            <c:numRef>
              <c:f>nuage_de_points!$B$1:$B$101</c:f>
              <c:numCache>
                <c:formatCode>General</c:formatCode>
                <c:ptCount val="101"/>
                <c:pt idx="0">
                  <c:v>0</c:v>
                </c:pt>
                <c:pt idx="1">
                  <c:v>1.65</c:v>
                </c:pt>
                <c:pt idx="2">
                  <c:v>1.8</c:v>
                </c:pt>
                <c:pt idx="3">
                  <c:v>1.69</c:v>
                </c:pt>
                <c:pt idx="4" formatCode="0.00">
                  <c:v>1.87</c:v>
                </c:pt>
                <c:pt idx="5">
                  <c:v>1.82</c:v>
                </c:pt>
                <c:pt idx="6">
                  <c:v>1.71</c:v>
                </c:pt>
                <c:pt idx="7">
                  <c:v>1.75</c:v>
                </c:pt>
                <c:pt idx="8">
                  <c:v>1.81</c:v>
                </c:pt>
                <c:pt idx="9">
                  <c:v>1.69</c:v>
                </c:pt>
                <c:pt idx="10">
                  <c:v>1.9</c:v>
                </c:pt>
                <c:pt idx="11">
                  <c:v>1.7</c:v>
                </c:pt>
                <c:pt idx="12" formatCode="0.00;[Red]0.00">
                  <c:v>1.7</c:v>
                </c:pt>
                <c:pt idx="13">
                  <c:v>1.59</c:v>
                </c:pt>
                <c:pt idx="14">
                  <c:v>1.82</c:v>
                </c:pt>
                <c:pt idx="15">
                  <c:v>1.72</c:v>
                </c:pt>
                <c:pt idx="16">
                  <c:v>1.72</c:v>
                </c:pt>
                <c:pt idx="17">
                  <c:v>1.72</c:v>
                </c:pt>
                <c:pt idx="18">
                  <c:v>1.55</c:v>
                </c:pt>
                <c:pt idx="19">
                  <c:v>1.62</c:v>
                </c:pt>
                <c:pt idx="20">
                  <c:v>1.3</c:v>
                </c:pt>
                <c:pt idx="21">
                  <c:v>1.7</c:v>
                </c:pt>
                <c:pt idx="22">
                  <c:v>1.7</c:v>
                </c:pt>
                <c:pt idx="23">
                  <c:v>1.67</c:v>
                </c:pt>
                <c:pt idx="24">
                  <c:v>1.86</c:v>
                </c:pt>
                <c:pt idx="25">
                  <c:v>1.86</c:v>
                </c:pt>
                <c:pt idx="26">
                  <c:v>1.86</c:v>
                </c:pt>
                <c:pt idx="27">
                  <c:v>1.66</c:v>
                </c:pt>
                <c:pt idx="28">
                  <c:v>1.66</c:v>
                </c:pt>
                <c:pt idx="29">
                  <c:v>1.55</c:v>
                </c:pt>
                <c:pt idx="30">
                  <c:v>1.7</c:v>
                </c:pt>
                <c:pt idx="31">
                  <c:v>1.7</c:v>
                </c:pt>
                <c:pt idx="32">
                  <c:v>1.78</c:v>
                </c:pt>
                <c:pt idx="33">
                  <c:v>1.78</c:v>
                </c:pt>
                <c:pt idx="34">
                  <c:v>1.78</c:v>
                </c:pt>
                <c:pt idx="35">
                  <c:v>1.8</c:v>
                </c:pt>
                <c:pt idx="36">
                  <c:v>1.8</c:v>
                </c:pt>
                <c:pt idx="37">
                  <c:v>1.59</c:v>
                </c:pt>
                <c:pt idx="38">
                  <c:v>1.78</c:v>
                </c:pt>
                <c:pt idx="39">
                  <c:v>1.78</c:v>
                </c:pt>
                <c:pt idx="40">
                  <c:v>1.78</c:v>
                </c:pt>
                <c:pt idx="41">
                  <c:v>1.78</c:v>
                </c:pt>
                <c:pt idx="42">
                  <c:v>1.79</c:v>
                </c:pt>
                <c:pt idx="43">
                  <c:v>1.96</c:v>
                </c:pt>
                <c:pt idx="44">
                  <c:v>1.61</c:v>
                </c:pt>
                <c:pt idx="45">
                  <c:v>1.61</c:v>
                </c:pt>
                <c:pt idx="46">
                  <c:v>1.71</c:v>
                </c:pt>
                <c:pt idx="47">
                  <c:v>1.71</c:v>
                </c:pt>
                <c:pt idx="48">
                  <c:v>1.91</c:v>
                </c:pt>
                <c:pt idx="49">
                  <c:v>1.91</c:v>
                </c:pt>
                <c:pt idx="50">
                  <c:v>1.67</c:v>
                </c:pt>
                <c:pt idx="51">
                  <c:v>1.2</c:v>
                </c:pt>
                <c:pt idx="52">
                  <c:v>1.45</c:v>
                </c:pt>
                <c:pt idx="53">
                  <c:v>1.45</c:v>
                </c:pt>
                <c:pt idx="54">
                  <c:v>1.72</c:v>
                </c:pt>
                <c:pt idx="55">
                  <c:v>1.92</c:v>
                </c:pt>
                <c:pt idx="56">
                  <c:v>1.92</c:v>
                </c:pt>
                <c:pt idx="57">
                  <c:v>1.62</c:v>
                </c:pt>
                <c:pt idx="58">
                  <c:v>1.62</c:v>
                </c:pt>
                <c:pt idx="59">
                  <c:v>1.62</c:v>
                </c:pt>
                <c:pt idx="60">
                  <c:v>1.62</c:v>
                </c:pt>
                <c:pt idx="61">
                  <c:v>1.87</c:v>
                </c:pt>
                <c:pt idx="62">
                  <c:v>1.87</c:v>
                </c:pt>
                <c:pt idx="63">
                  <c:v>1.87</c:v>
                </c:pt>
                <c:pt idx="64">
                  <c:v>1.87</c:v>
                </c:pt>
                <c:pt idx="65">
                  <c:v>1.87</c:v>
                </c:pt>
                <c:pt idx="66">
                  <c:v>1.87</c:v>
                </c:pt>
                <c:pt idx="67">
                  <c:v>1.87</c:v>
                </c:pt>
                <c:pt idx="68">
                  <c:v>1.87</c:v>
                </c:pt>
                <c:pt idx="69">
                  <c:v>1.87</c:v>
                </c:pt>
                <c:pt idx="70">
                  <c:v>1.87</c:v>
                </c:pt>
                <c:pt idx="71">
                  <c:v>1.87</c:v>
                </c:pt>
                <c:pt idx="72">
                  <c:v>1.87</c:v>
                </c:pt>
                <c:pt idx="73">
                  <c:v>1.95</c:v>
                </c:pt>
                <c:pt idx="74">
                  <c:v>1.95</c:v>
                </c:pt>
                <c:pt idx="75">
                  <c:v>1.95</c:v>
                </c:pt>
                <c:pt idx="76">
                  <c:v>1.95</c:v>
                </c:pt>
                <c:pt idx="77">
                  <c:v>1.56</c:v>
                </c:pt>
                <c:pt idx="78">
                  <c:v>1.56</c:v>
                </c:pt>
                <c:pt idx="79">
                  <c:v>1.56</c:v>
                </c:pt>
                <c:pt idx="80">
                  <c:v>1.56</c:v>
                </c:pt>
                <c:pt idx="81">
                  <c:v>1.56</c:v>
                </c:pt>
                <c:pt idx="82">
                  <c:v>1.76</c:v>
                </c:pt>
                <c:pt idx="83">
                  <c:v>1.95</c:v>
                </c:pt>
                <c:pt idx="84">
                  <c:v>1.95</c:v>
                </c:pt>
                <c:pt idx="85">
                  <c:v>1.85</c:v>
                </c:pt>
                <c:pt idx="86">
                  <c:v>1.55</c:v>
                </c:pt>
                <c:pt idx="87">
                  <c:v>1.55</c:v>
                </c:pt>
                <c:pt idx="88" formatCode="0.00;[Red]0.00">
                  <c:v>1.65</c:v>
                </c:pt>
                <c:pt idx="89">
                  <c:v>1.65</c:v>
                </c:pt>
                <c:pt idx="90">
                  <c:v>1.75</c:v>
                </c:pt>
                <c:pt idx="91">
                  <c:v>1.6</c:v>
                </c:pt>
                <c:pt idx="92">
                  <c:v>1.73</c:v>
                </c:pt>
                <c:pt idx="93">
                  <c:v>1.87</c:v>
                </c:pt>
                <c:pt idx="94">
                  <c:v>1.8</c:v>
                </c:pt>
                <c:pt idx="95">
                  <c:v>1.8</c:v>
                </c:pt>
                <c:pt idx="96">
                  <c:v>1.8</c:v>
                </c:pt>
                <c:pt idx="97">
                  <c:v>1.8</c:v>
                </c:pt>
                <c:pt idx="98">
                  <c:v>1.65</c:v>
                </c:pt>
                <c:pt idx="99">
                  <c:v>1.65</c:v>
                </c:pt>
                <c:pt idx="100">
                  <c:v>1.17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496392"/>
        <c:axId val="387497568"/>
      </c:scatterChart>
      <c:valAx>
        <c:axId val="387496392"/>
        <c:scaling>
          <c:orientation val="minMax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poids</a:t>
                </a:r>
                <a:r>
                  <a:rPr lang="fr-FR" baseline="0"/>
                  <a:t> en kg</a:t>
                </a:r>
                <a:endParaRPr lang="fr-FR"/>
              </a:p>
            </c:rich>
          </c:tx>
          <c:layout>
            <c:manualLayout>
              <c:xMode val="edge"/>
              <c:yMode val="edge"/>
              <c:x val="0.88796120479943275"/>
              <c:y val="0.9052553467312936"/>
            </c:manualLayout>
          </c:layout>
          <c:overlay val="0"/>
        </c:title>
        <c:majorTickMark val="out"/>
        <c:minorTickMark val="none"/>
        <c:tickLblPos val="nextTo"/>
        <c:crossAx val="387497568"/>
        <c:crosses val="autoZero"/>
        <c:crossBetween val="midCat"/>
      </c:valAx>
      <c:valAx>
        <c:axId val="387497568"/>
        <c:scaling>
          <c:orientation val="minMax"/>
          <c:min val="1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fr-FR"/>
                  <a:t>taille en m</a:t>
                </a:r>
              </a:p>
            </c:rich>
          </c:tx>
          <c:layout>
            <c:manualLayout>
              <c:xMode val="edge"/>
              <c:yMode val="edge"/>
              <c:x val="1.1126563048479692E-2"/>
              <c:y val="3.746268942659539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874963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16</xdr:col>
      <xdr:colOff>571500</xdr:colOff>
      <xdr:row>32</xdr:row>
      <xdr:rowOff>123825</xdr:rowOff>
    </xdr:to>
    <xdr:sp macro="" textlink="">
      <xdr:nvSpPr>
        <xdr:cNvPr id="2" name="Rectangle 1"/>
        <xdr:cNvSpPr/>
      </xdr:nvSpPr>
      <xdr:spPr>
        <a:xfrm>
          <a:off x="28575" y="9525"/>
          <a:ext cx="12734925" cy="6210300"/>
        </a:xfrm>
        <a:prstGeom prst="rec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485774</xdr:colOff>
      <xdr:row>1</xdr:row>
      <xdr:rowOff>47625</xdr:rowOff>
    </xdr:from>
    <xdr:to>
      <xdr:col>11</xdr:col>
      <xdr:colOff>590549</xdr:colOff>
      <xdr:row>5</xdr:row>
      <xdr:rowOff>0</xdr:rowOff>
    </xdr:to>
    <xdr:sp macro="" textlink="">
      <xdr:nvSpPr>
        <xdr:cNvPr id="3" name="Rectangle à coins arrondis 2"/>
        <xdr:cNvSpPr/>
      </xdr:nvSpPr>
      <xdr:spPr>
        <a:xfrm>
          <a:off x="2009774" y="238125"/>
          <a:ext cx="6962775" cy="714375"/>
        </a:xfrm>
        <a:prstGeom prst="roundRect">
          <a:avLst/>
        </a:prstGeom>
        <a:ln w="3175"/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prstTxWarp prst="textChevron">
            <a:avLst/>
          </a:prstTxWarp>
        </a:bodyPr>
        <a:lstStyle/>
        <a:p>
          <a:pPr algn="l"/>
          <a:r>
            <a:rPr lang="fr-FR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  <a:latin typeface="Comic Sans MS" pitchFamily="66" charset="0"/>
              <a:cs typeface="Times New Roman" pitchFamily="18" charset="0"/>
            </a:rPr>
            <a:t>SUIVI</a:t>
          </a:r>
          <a:r>
            <a:rPr lang="fr-FR" sz="11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  <a:latin typeface="Comic Sans MS" pitchFamily="66" charset="0"/>
              <a:cs typeface="Times New Roman" pitchFamily="18" charset="0"/>
            </a:rPr>
            <a:t>  DES EVENEMENTS  INDESIRABLES CHEZ QUELQUES PATIENTS</a:t>
          </a:r>
          <a:endParaRPr lang="fr-FR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  <a:latin typeface="Comic Sans MS" pitchFamily="66" charset="0"/>
            <a:cs typeface="Times New Roman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11</xdr:row>
          <xdr:rowOff>133350</xdr:rowOff>
        </xdr:from>
        <xdr:to>
          <xdr:col>10</xdr:col>
          <xdr:colOff>485775</xdr:colOff>
          <xdr:row>14</xdr:row>
          <xdr:rowOff>95250</xdr:rowOff>
        </xdr:to>
        <xdr:sp macro="" textlink="">
          <xdr:nvSpPr>
            <xdr:cNvPr id="4101" name="Affichage_des_donnees_saisies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390525</xdr:colOff>
          <xdr:row>16</xdr:row>
          <xdr:rowOff>85725</xdr:rowOff>
        </xdr:from>
        <xdr:to>
          <xdr:col>11</xdr:col>
          <xdr:colOff>123825</xdr:colOff>
          <xdr:row>19</xdr:row>
          <xdr:rowOff>133350</xdr:rowOff>
        </xdr:to>
        <xdr:sp macro="" textlink="">
          <xdr:nvSpPr>
            <xdr:cNvPr id="4102" name="Affichage_diagramme_secteur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66675</xdr:rowOff>
        </xdr:from>
        <xdr:to>
          <xdr:col>11</xdr:col>
          <xdr:colOff>0</xdr:colOff>
          <xdr:row>9</xdr:row>
          <xdr:rowOff>152400</xdr:rowOff>
        </xdr:to>
        <xdr:sp macro="" textlink="">
          <xdr:nvSpPr>
            <xdr:cNvPr id="4105" name="formulaire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21</xdr:row>
          <xdr:rowOff>133350</xdr:rowOff>
        </xdr:from>
        <xdr:to>
          <xdr:col>10</xdr:col>
          <xdr:colOff>619125</xdr:colOff>
          <xdr:row>24</xdr:row>
          <xdr:rowOff>76200</xdr:rowOff>
        </xdr:to>
        <xdr:sp macro="" textlink="">
          <xdr:nvSpPr>
            <xdr:cNvPr id="4106" name="fermeture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742950</xdr:colOff>
      <xdr:row>2</xdr:row>
      <xdr:rowOff>189199</xdr:rowOff>
    </xdr:to>
    <xdr:pic>
      <xdr:nvPicPr>
        <xdr:cNvPr id="3" name="Imag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1504950" cy="5701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285750</xdr:colOff>
      <xdr:row>4</xdr:row>
      <xdr:rowOff>66676</xdr:rowOff>
    </xdr:from>
    <xdr:to>
      <xdr:col>8</xdr:col>
      <xdr:colOff>95250</xdr:colOff>
      <xdr:row>18</xdr:row>
      <xdr:rowOff>180976</xdr:rowOff>
    </xdr:to>
    <xdr:sp macro="" textlink="">
      <xdr:nvSpPr>
        <xdr:cNvPr id="9" name="ZoneTexte 8"/>
        <xdr:cNvSpPr txBox="1"/>
      </xdr:nvSpPr>
      <xdr:spPr>
        <a:xfrm>
          <a:off x="1809750" y="828676"/>
          <a:ext cx="4381500" cy="278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2</xdr:col>
      <xdr:colOff>285750</xdr:colOff>
      <xdr:row>3</xdr:row>
      <xdr:rowOff>85725</xdr:rowOff>
    </xdr:from>
    <xdr:to>
      <xdr:col>10</xdr:col>
      <xdr:colOff>685800</xdr:colOff>
      <xdr:row>21</xdr:row>
      <xdr:rowOff>161924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3</xdr:row>
      <xdr:rowOff>142875</xdr:rowOff>
    </xdr:from>
    <xdr:to>
      <xdr:col>6</xdr:col>
      <xdr:colOff>1628775</xdr:colOff>
      <xdr:row>21</xdr:row>
      <xdr:rowOff>142875</xdr:rowOff>
    </xdr:to>
    <xdr:sp macro="" textlink="">
      <xdr:nvSpPr>
        <xdr:cNvPr id="3" name="ZoneTexte 2"/>
        <xdr:cNvSpPr txBox="1"/>
      </xdr:nvSpPr>
      <xdr:spPr>
        <a:xfrm>
          <a:off x="2447925" y="714375"/>
          <a:ext cx="8839200" cy="3429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2</xdr:col>
      <xdr:colOff>314325</xdr:colOff>
      <xdr:row>0</xdr:row>
      <xdr:rowOff>85725</xdr:rowOff>
    </xdr:from>
    <xdr:to>
      <xdr:col>6</xdr:col>
      <xdr:colOff>1809751</xdr:colOff>
      <xdr:row>27</xdr:row>
      <xdr:rowOff>66675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314324</xdr:colOff>
      <xdr:row>0</xdr:row>
      <xdr:rowOff>133350</xdr:rowOff>
    </xdr:from>
    <xdr:to>
      <xdr:col>15</xdr:col>
      <xdr:colOff>552450</xdr:colOff>
      <xdr:row>21</xdr:row>
      <xdr:rowOff>47625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Donnees" displayName="TDonnees" ref="A1:V101" totalsRowShown="0" headerRowDxfId="45" dataDxfId="43" headerRowBorderDxfId="44" tableBorderDxfId="42" totalsRowBorderDxfId="41">
  <tableColumns count="22">
    <tableColumn id="1" name="IdPatient" dataDxfId="40"/>
    <tableColumn id="2" name="BratTrait" dataDxfId="39"/>
    <tableColumn id="3" name="Sexe" dataDxfId="38"/>
    <tableColumn id="4" name="DateNais" dataDxfId="37"/>
    <tableColumn id="5" name="Taille" dataDxfId="36"/>
    <tableColumn id="6" name="Poids" dataDxfId="35"/>
    <tableColumn id="7" name="ResTG" dataDxfId="34"/>
    <tableColumn id="8" name="GEpaisse" dataDxfId="33"/>
    <tableColumn id="9" name="Pstemie" dataDxfId="32"/>
    <tableColumn id="10" name="Spot_Sang" dataDxfId="31"/>
    <tableColumn id="11" name="Elndes" dataDxfId="30"/>
    <tableColumn id="12" name="Medic" dataDxfId="29"/>
    <tableColumn id="13" name="DescrEL" dataDxfId="28"/>
    <tableColumn id="14" name="Date_Debut" dataDxfId="27"/>
    <tableColumn id="15" name="Date_Fin" dataDxfId="26"/>
    <tableColumn id="16" name="Intensite" dataDxfId="25"/>
    <tableColumn id="17" name="Gravite" dataDxfId="24"/>
    <tableColumn id="18" name="ActPriseEL" dataDxfId="23"/>
    <tableColumn id="19" name="DevSuiteEL" dataDxfId="22"/>
    <tableColumn id="20" name="RelAvecTrait" dataDxfId="21"/>
    <tableColumn id="21" name="IMC" dataDxfId="20"/>
    <tableColumn id="22" name="Nature" dataDxfId="1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3" name="NB_surpoids_maigreur" displayName="NB_surpoids_maigreur" ref="X20:Y22" totalsRowShown="0" headerRowDxfId="18" headerRowBorderDxfId="17" tableBorderDxfId="16" totalsRowBorderDxfId="15">
  <autoFilter ref="X20:Y22"/>
  <tableColumns count="2">
    <tableColumn id="1" name="Nature" dataDxfId="14"/>
    <tableColumn id="2" name="nombre" dataDxfId="1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7" name="Tableau7" displayName="Tableau7" ref="A1:B38" totalsRowShown="0" tableBorderDxfId="12">
  <autoFilter ref="A1:B38"/>
  <tableColumns count="2">
    <tableColumn id="1" name="Medic" dataDxfId="11"/>
    <tableColumn id="2" name="Nombre" dataDxfId="1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9" name="Tableau9" displayName="Tableau9" ref="H1:I101" totalsRowShown="0" headerRowDxfId="9" dataDxfId="8">
  <autoFilter ref="H1:I101"/>
  <tableColumns count="2">
    <tableColumn id="1" name="Medic" dataDxfId="7"/>
    <tableColumn id="2" name="Elndes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0" name="Tableau10" displayName="Tableau10" ref="A1:D101" totalsRowShown="0" headerRowDxfId="5" dataDxfId="4">
  <tableColumns count="4">
    <tableColumn id="1" name="IdPatient" dataDxfId="3"/>
    <tableColumn id="2" name="Taille" dataDxfId="2"/>
    <tableColumn id="3" name="Poids" dataDxfId="1"/>
    <tableColumn id="4" name="IMC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6" r:id="rId4" name="fermeture">
          <controlPr defaultSize="0" autoFill="0" autoLine="0" autoPict="0" r:id="rId5">
            <anchor moveWithCells="1">
              <from>
                <xdr:col>3</xdr:col>
                <xdr:colOff>57150</xdr:colOff>
                <xdr:row>21</xdr:row>
                <xdr:rowOff>133350</xdr:rowOff>
              </from>
              <to>
                <xdr:col>10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4106" r:id="rId4" name="fermeture"/>
      </mc:Fallback>
    </mc:AlternateContent>
    <mc:AlternateContent xmlns:mc="http://schemas.openxmlformats.org/markup-compatibility/2006">
      <mc:Choice Requires="x14">
        <control shapeId="4105" r:id="rId6" name="formulaire">
          <controlPr defaultSize="0" autoFill="0" autoLine="0" r:id="rId7">
            <anchor moveWithCells="1">
              <from>
                <xdr:col>3</xdr:col>
                <xdr:colOff>333375</xdr:colOff>
                <xdr:row>7</xdr:row>
                <xdr:rowOff>66675</xdr:rowOff>
              </from>
              <to>
                <xdr:col>11</xdr:col>
                <xdr:colOff>0</xdr:colOff>
                <xdr:row>9</xdr:row>
                <xdr:rowOff>152400</xdr:rowOff>
              </to>
            </anchor>
          </controlPr>
        </control>
      </mc:Choice>
      <mc:Fallback>
        <control shapeId="4105" r:id="rId6" name="formulaire"/>
      </mc:Fallback>
    </mc:AlternateContent>
    <mc:AlternateContent xmlns:mc="http://schemas.openxmlformats.org/markup-compatibility/2006">
      <mc:Choice Requires="x14">
        <control shapeId="4102" r:id="rId8" name="Affichage_diagramme_secteur">
          <controlPr defaultSize="0" autoFill="0" autoLine="0" r:id="rId9">
            <anchor>
              <from>
                <xdr:col>3</xdr:col>
                <xdr:colOff>390525</xdr:colOff>
                <xdr:row>16</xdr:row>
                <xdr:rowOff>85725</xdr:rowOff>
              </from>
              <to>
                <xdr:col>11</xdr:col>
                <xdr:colOff>123825</xdr:colOff>
                <xdr:row>19</xdr:row>
                <xdr:rowOff>133350</xdr:rowOff>
              </to>
            </anchor>
          </controlPr>
        </control>
      </mc:Choice>
      <mc:Fallback>
        <control shapeId="4102" r:id="rId8" name="Affichage_diagramme_secteur"/>
      </mc:Fallback>
    </mc:AlternateContent>
    <mc:AlternateContent xmlns:mc="http://schemas.openxmlformats.org/markup-compatibility/2006">
      <mc:Choice Requires="x14">
        <control shapeId="4101" r:id="rId10" name="Affichage_des_donnees_saisies">
          <controlPr defaultSize="0" autoFill="0" autoLine="0" r:id="rId11">
            <anchor moveWithCells="1">
              <from>
                <xdr:col>2</xdr:col>
                <xdr:colOff>752475</xdr:colOff>
                <xdr:row>11</xdr:row>
                <xdr:rowOff>133350</xdr:rowOff>
              </from>
              <to>
                <xdr:col>10</xdr:col>
                <xdr:colOff>485775</xdr:colOff>
                <xdr:row>14</xdr:row>
                <xdr:rowOff>95250</xdr:rowOff>
              </to>
            </anchor>
          </controlPr>
        </control>
      </mc:Choice>
      <mc:Fallback>
        <control shapeId="4101" r:id="rId10" name="Affichage_des_donnees_saisi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V300"/>
  <sheetViews>
    <sheetView workbookViewId="0">
      <selection activeCell="H13" sqref="H13"/>
    </sheetView>
  </sheetViews>
  <sheetFormatPr baseColWidth="10" defaultRowHeight="15" x14ac:dyDescent="0.25"/>
  <cols>
    <col min="10" max="10" width="12.28515625" customWidth="1"/>
    <col min="13" max="13" width="17.28515625" customWidth="1"/>
    <col min="14" max="14" width="13.7109375" customWidth="1"/>
    <col min="18" max="18" width="18.140625" customWidth="1"/>
    <col min="19" max="19" width="21.85546875" customWidth="1"/>
    <col min="20" max="20" width="14.28515625" customWidth="1"/>
    <col min="22" max="22" width="21.5703125" customWidth="1"/>
  </cols>
  <sheetData>
    <row r="1" spans="1:22" x14ac:dyDescent="0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8" t="s">
        <v>19</v>
      </c>
      <c r="U1" s="9" t="s">
        <v>46</v>
      </c>
      <c r="V1" s="10" t="s">
        <v>47</v>
      </c>
    </row>
    <row r="2" spans="1:22" x14ac:dyDescent="0.25">
      <c r="A2" s="11">
        <v>1</v>
      </c>
      <c r="B2" s="12" t="s">
        <v>20</v>
      </c>
      <c r="C2" s="12" t="s">
        <v>23</v>
      </c>
      <c r="D2" s="12" t="s">
        <v>48</v>
      </c>
      <c r="E2" s="13">
        <v>1.65</v>
      </c>
      <c r="F2" s="12">
        <v>55</v>
      </c>
      <c r="G2" s="12" t="s">
        <v>25</v>
      </c>
      <c r="H2" s="12" t="s">
        <v>25</v>
      </c>
      <c r="I2" s="12">
        <v>12</v>
      </c>
      <c r="J2" s="12" t="s">
        <v>27</v>
      </c>
      <c r="K2" s="12" t="s">
        <v>27</v>
      </c>
      <c r="L2" s="12" t="s">
        <v>51</v>
      </c>
      <c r="M2" s="12" t="s">
        <v>52</v>
      </c>
      <c r="N2" s="12" t="s">
        <v>49</v>
      </c>
      <c r="O2" s="12" t="s">
        <v>49</v>
      </c>
      <c r="P2" s="12" t="s">
        <v>29</v>
      </c>
      <c r="Q2" s="12" t="s">
        <v>33</v>
      </c>
      <c r="R2" s="12" t="s">
        <v>50</v>
      </c>
      <c r="S2" s="12" t="s">
        <v>38</v>
      </c>
      <c r="T2" s="14" t="s">
        <v>27</v>
      </c>
      <c r="U2" s="12">
        <v>20.202020202020204</v>
      </c>
      <c r="V2" s="14" t="s">
        <v>59</v>
      </c>
    </row>
    <row r="3" spans="1:22" x14ac:dyDescent="0.25">
      <c r="A3" s="11">
        <v>2</v>
      </c>
      <c r="B3" s="12" t="s">
        <v>20</v>
      </c>
      <c r="C3" s="12" t="s">
        <v>22</v>
      </c>
      <c r="D3" s="12" t="s">
        <v>53</v>
      </c>
      <c r="E3" s="13">
        <v>1.8</v>
      </c>
      <c r="F3" s="12">
        <v>70</v>
      </c>
      <c r="G3" s="12" t="s">
        <v>54</v>
      </c>
      <c r="H3" s="12" t="s">
        <v>25</v>
      </c>
      <c r="I3" s="12">
        <v>12</v>
      </c>
      <c r="J3" s="12" t="s">
        <v>28</v>
      </c>
      <c r="K3" s="12" t="s">
        <v>27</v>
      </c>
      <c r="L3" s="12" t="s">
        <v>55</v>
      </c>
      <c r="M3" s="12" t="s">
        <v>56</v>
      </c>
      <c r="N3" s="12" t="s">
        <v>57</v>
      </c>
      <c r="O3" s="12" t="s">
        <v>58</v>
      </c>
      <c r="P3" s="12" t="s">
        <v>29</v>
      </c>
      <c r="Q3" s="12" t="s">
        <v>33</v>
      </c>
      <c r="R3" s="12" t="s">
        <v>34</v>
      </c>
      <c r="S3" s="12" t="s">
        <v>38</v>
      </c>
      <c r="T3" s="14" t="s">
        <v>27</v>
      </c>
      <c r="U3" s="12">
        <v>21.604938271604937</v>
      </c>
      <c r="V3" s="14" t="s">
        <v>59</v>
      </c>
    </row>
    <row r="4" spans="1:22" x14ac:dyDescent="0.25">
      <c r="A4" s="11">
        <v>3</v>
      </c>
      <c r="B4" s="12" t="s">
        <v>20</v>
      </c>
      <c r="C4" s="12" t="s">
        <v>22</v>
      </c>
      <c r="D4" s="15" t="s">
        <v>63</v>
      </c>
      <c r="E4" s="13">
        <v>1.69</v>
      </c>
      <c r="F4" s="12">
        <v>80</v>
      </c>
      <c r="G4" s="12" t="s">
        <v>54</v>
      </c>
      <c r="H4" s="12" t="s">
        <v>24</v>
      </c>
      <c r="I4" s="12">
        <v>15</v>
      </c>
      <c r="J4" s="12" t="s">
        <v>28</v>
      </c>
      <c r="K4" s="12" t="s">
        <v>27</v>
      </c>
      <c r="L4" s="12" t="s">
        <v>60</v>
      </c>
      <c r="M4" s="12" t="s">
        <v>61</v>
      </c>
      <c r="N4" s="15" t="s">
        <v>64</v>
      </c>
      <c r="O4" s="15" t="s">
        <v>65</v>
      </c>
      <c r="P4" s="12" t="s">
        <v>30</v>
      </c>
      <c r="Q4" s="12" t="s">
        <v>33</v>
      </c>
      <c r="R4" s="12" t="s">
        <v>37</v>
      </c>
      <c r="S4" s="12" t="s">
        <v>38</v>
      </c>
      <c r="T4" s="14" t="s">
        <v>27</v>
      </c>
      <c r="U4" s="12">
        <v>28.010223731662059</v>
      </c>
      <c r="V4" s="14" t="s">
        <v>62</v>
      </c>
    </row>
    <row r="5" spans="1:22" x14ac:dyDescent="0.25">
      <c r="A5" s="11">
        <v>4</v>
      </c>
      <c r="B5" s="12" t="s">
        <v>21</v>
      </c>
      <c r="C5" s="12" t="s">
        <v>23</v>
      </c>
      <c r="D5" s="15" t="s">
        <v>119</v>
      </c>
      <c r="E5" s="16">
        <v>1.87</v>
      </c>
      <c r="F5" s="12">
        <v>76</v>
      </c>
      <c r="G5" s="12" t="s">
        <v>24</v>
      </c>
      <c r="H5" s="12" t="s">
        <v>25</v>
      </c>
      <c r="I5" s="12">
        <v>20</v>
      </c>
      <c r="J5" s="12" t="s">
        <v>28</v>
      </c>
      <c r="K5" s="12" t="s">
        <v>27</v>
      </c>
      <c r="L5" s="12" t="s">
        <v>66</v>
      </c>
      <c r="M5" s="12" t="s">
        <v>67</v>
      </c>
      <c r="N5" s="12" t="s">
        <v>68</v>
      </c>
      <c r="O5" s="12" t="s">
        <v>69</v>
      </c>
      <c r="P5" s="12" t="s">
        <v>31</v>
      </c>
      <c r="Q5" s="12" t="s">
        <v>32</v>
      </c>
      <c r="R5" s="12" t="s">
        <v>36</v>
      </c>
      <c r="S5" s="12" t="s">
        <v>38</v>
      </c>
      <c r="T5" s="14" t="s">
        <v>45</v>
      </c>
      <c r="U5" s="12">
        <v>21.733535417083701</v>
      </c>
      <c r="V5" s="14" t="s">
        <v>59</v>
      </c>
    </row>
    <row r="6" spans="1:22" x14ac:dyDescent="0.25">
      <c r="A6" s="11">
        <v>5</v>
      </c>
      <c r="B6" s="12" t="s">
        <v>21</v>
      </c>
      <c r="C6" s="12" t="s">
        <v>22</v>
      </c>
      <c r="D6" s="12" t="s">
        <v>70</v>
      </c>
      <c r="E6" s="13">
        <v>1.82</v>
      </c>
      <c r="F6" s="12">
        <v>93</v>
      </c>
      <c r="G6" s="12" t="s">
        <v>54</v>
      </c>
      <c r="H6" s="12" t="s">
        <v>25</v>
      </c>
      <c r="I6" s="12">
        <v>0</v>
      </c>
      <c r="J6" s="12" t="s">
        <v>28</v>
      </c>
      <c r="K6" s="12" t="s">
        <v>27</v>
      </c>
      <c r="L6" s="12" t="s">
        <v>71</v>
      </c>
      <c r="M6" s="12" t="s">
        <v>72</v>
      </c>
      <c r="N6" s="15">
        <v>43718</v>
      </c>
      <c r="O6" s="12" t="s">
        <v>73</v>
      </c>
      <c r="P6" s="12" t="s">
        <v>29</v>
      </c>
      <c r="Q6" s="12" t="s">
        <v>33</v>
      </c>
      <c r="R6" s="12" t="s">
        <v>34</v>
      </c>
      <c r="S6" s="12" t="s">
        <v>42</v>
      </c>
      <c r="T6" s="14" t="s">
        <v>44</v>
      </c>
      <c r="U6" s="12">
        <v>28.076319285110493</v>
      </c>
      <c r="V6" s="14" t="s">
        <v>62</v>
      </c>
    </row>
    <row r="7" spans="1:22" x14ac:dyDescent="0.25">
      <c r="A7" s="11">
        <v>6</v>
      </c>
      <c r="B7" s="12" t="s">
        <v>20</v>
      </c>
      <c r="C7" s="12" t="s">
        <v>23</v>
      </c>
      <c r="D7" s="15" t="s">
        <v>116</v>
      </c>
      <c r="E7" s="13">
        <v>1.71</v>
      </c>
      <c r="F7" s="12">
        <v>90</v>
      </c>
      <c r="G7" s="12" t="s">
        <v>24</v>
      </c>
      <c r="H7" s="12" t="s">
        <v>25</v>
      </c>
      <c r="I7" s="12">
        <v>20</v>
      </c>
      <c r="J7" s="12" t="s">
        <v>28</v>
      </c>
      <c r="K7" s="12" t="s">
        <v>27</v>
      </c>
      <c r="L7" s="12" t="s">
        <v>74</v>
      </c>
      <c r="M7" s="12" t="s">
        <v>75</v>
      </c>
      <c r="N7" s="12" t="s">
        <v>76</v>
      </c>
      <c r="O7" s="15">
        <v>43831</v>
      </c>
      <c r="P7" s="12" t="s">
        <v>31</v>
      </c>
      <c r="Q7" s="12" t="s">
        <v>33</v>
      </c>
      <c r="R7" s="12" t="s">
        <v>35</v>
      </c>
      <c r="S7" s="12" t="s">
        <v>40</v>
      </c>
      <c r="T7" s="14" t="s">
        <v>27</v>
      </c>
      <c r="U7" s="12">
        <v>30.778701138811947</v>
      </c>
      <c r="V7" s="14" t="s">
        <v>77</v>
      </c>
    </row>
    <row r="8" spans="1:22" x14ac:dyDescent="0.25">
      <c r="A8" s="11">
        <v>7</v>
      </c>
      <c r="B8" s="12" t="s">
        <v>21</v>
      </c>
      <c r="C8" s="12" t="s">
        <v>22</v>
      </c>
      <c r="D8" s="12" t="s">
        <v>78</v>
      </c>
      <c r="E8" s="13">
        <v>1.75</v>
      </c>
      <c r="F8" s="12">
        <v>55</v>
      </c>
      <c r="G8" s="12" t="s">
        <v>54</v>
      </c>
      <c r="H8" s="12" t="s">
        <v>25</v>
      </c>
      <c r="I8" s="12">
        <v>23</v>
      </c>
      <c r="J8" s="12" t="s">
        <v>28</v>
      </c>
      <c r="K8" s="12" t="s">
        <v>27</v>
      </c>
      <c r="L8" s="12" t="s">
        <v>79</v>
      </c>
      <c r="M8" s="12" t="s">
        <v>80</v>
      </c>
      <c r="N8" s="15">
        <v>43504</v>
      </c>
      <c r="O8" s="12" t="s">
        <v>81</v>
      </c>
      <c r="P8" s="12" t="s">
        <v>30</v>
      </c>
      <c r="Q8" s="12" t="s">
        <v>33</v>
      </c>
      <c r="R8" s="12" t="s">
        <v>37</v>
      </c>
      <c r="S8" s="12" t="s">
        <v>42</v>
      </c>
      <c r="T8" s="14" t="s">
        <v>44</v>
      </c>
      <c r="U8" s="12">
        <v>17.959183673469386</v>
      </c>
      <c r="V8" s="14" t="s">
        <v>82</v>
      </c>
    </row>
    <row r="9" spans="1:22" x14ac:dyDescent="0.25">
      <c r="A9" s="11">
        <v>8</v>
      </c>
      <c r="B9" s="12" t="s">
        <v>20</v>
      </c>
      <c r="C9" s="12" t="s">
        <v>23</v>
      </c>
      <c r="D9" s="12" t="s">
        <v>83</v>
      </c>
      <c r="E9" s="13">
        <v>1.81</v>
      </c>
      <c r="F9" s="12">
        <v>91</v>
      </c>
      <c r="G9" s="12" t="s">
        <v>24</v>
      </c>
      <c r="H9" s="12" t="s">
        <v>25</v>
      </c>
      <c r="I9" s="12">
        <v>0</v>
      </c>
      <c r="J9" s="12" t="s">
        <v>28</v>
      </c>
      <c r="K9" s="12" t="s">
        <v>27</v>
      </c>
      <c r="L9" s="12" t="s">
        <v>84</v>
      </c>
      <c r="M9" s="12" t="s">
        <v>85</v>
      </c>
      <c r="N9" s="12" t="s">
        <v>86</v>
      </c>
      <c r="O9" s="15">
        <v>43561</v>
      </c>
      <c r="P9" s="12" t="s">
        <v>31</v>
      </c>
      <c r="Q9" s="12" t="s">
        <v>32</v>
      </c>
      <c r="R9" s="12" t="s">
        <v>35</v>
      </c>
      <c r="S9" s="12" t="s">
        <v>42</v>
      </c>
      <c r="T9" s="14" t="s">
        <v>27</v>
      </c>
      <c r="U9" s="12">
        <v>27.776929886145112</v>
      </c>
      <c r="V9" s="14" t="s">
        <v>62</v>
      </c>
    </row>
    <row r="10" spans="1:22" x14ac:dyDescent="0.25">
      <c r="A10" s="11">
        <v>9</v>
      </c>
      <c r="B10" s="12" t="s">
        <v>20</v>
      </c>
      <c r="C10" s="12" t="s">
        <v>22</v>
      </c>
      <c r="D10" s="15" t="s">
        <v>117</v>
      </c>
      <c r="E10" s="13">
        <v>1.69</v>
      </c>
      <c r="F10" s="12">
        <v>60</v>
      </c>
      <c r="G10" s="12" t="s">
        <v>54</v>
      </c>
      <c r="H10" s="12" t="s">
        <v>24</v>
      </c>
      <c r="I10" s="12">
        <v>32</v>
      </c>
      <c r="J10" s="12" t="s">
        <v>28</v>
      </c>
      <c r="K10" s="12" t="s">
        <v>27</v>
      </c>
      <c r="L10" s="12" t="s">
        <v>60</v>
      </c>
      <c r="M10" s="12" t="s">
        <v>87</v>
      </c>
      <c r="N10" s="12" t="s">
        <v>88</v>
      </c>
      <c r="O10" s="15">
        <v>43469</v>
      </c>
      <c r="P10" s="12" t="s">
        <v>31</v>
      </c>
      <c r="Q10" s="12" t="s">
        <v>32</v>
      </c>
      <c r="R10" s="12" t="s">
        <v>35</v>
      </c>
      <c r="S10" s="12" t="s">
        <v>40</v>
      </c>
      <c r="T10" s="14" t="s">
        <v>44</v>
      </c>
      <c r="U10" s="12">
        <v>21.007667798746546</v>
      </c>
      <c r="V10" s="14" t="s">
        <v>59</v>
      </c>
    </row>
    <row r="11" spans="1:22" x14ac:dyDescent="0.25">
      <c r="A11" s="11">
        <v>10</v>
      </c>
      <c r="B11" s="12" t="s">
        <v>20</v>
      </c>
      <c r="C11" s="12" t="s">
        <v>22</v>
      </c>
      <c r="D11" s="15" t="s">
        <v>118</v>
      </c>
      <c r="E11" s="13">
        <v>1.9</v>
      </c>
      <c r="F11" s="12">
        <v>110</v>
      </c>
      <c r="G11" s="12" t="s">
        <v>54</v>
      </c>
      <c r="H11" s="12" t="s">
        <v>24</v>
      </c>
      <c r="I11" s="12">
        <v>35</v>
      </c>
      <c r="J11" s="12" t="s">
        <v>28</v>
      </c>
      <c r="K11" s="12" t="s">
        <v>27</v>
      </c>
      <c r="L11" s="12" t="s">
        <v>51</v>
      </c>
      <c r="M11" s="12" t="s">
        <v>89</v>
      </c>
      <c r="N11" s="12" t="s">
        <v>88</v>
      </c>
      <c r="O11" s="12" t="s">
        <v>68</v>
      </c>
      <c r="P11" s="12" t="s">
        <v>29</v>
      </c>
      <c r="Q11" s="12" t="s">
        <v>33</v>
      </c>
      <c r="R11" s="12" t="s">
        <v>37</v>
      </c>
      <c r="S11" s="12" t="s">
        <v>38</v>
      </c>
      <c r="T11" s="14" t="s">
        <v>45</v>
      </c>
      <c r="U11" s="12">
        <v>30.470914127423825</v>
      </c>
      <c r="V11" s="14" t="s">
        <v>77</v>
      </c>
    </row>
    <row r="12" spans="1:22" x14ac:dyDescent="0.25">
      <c r="A12" s="11">
        <v>11</v>
      </c>
      <c r="B12" s="12" t="s">
        <v>20</v>
      </c>
      <c r="C12" s="12" t="s">
        <v>23</v>
      </c>
      <c r="D12" s="12" t="s">
        <v>90</v>
      </c>
      <c r="E12" s="13">
        <v>1.7</v>
      </c>
      <c r="F12" s="12">
        <v>45</v>
      </c>
      <c r="G12" s="12" t="s">
        <v>25</v>
      </c>
      <c r="H12" s="12" t="s">
        <v>25</v>
      </c>
      <c r="I12" s="12">
        <v>14</v>
      </c>
      <c r="J12" s="12" t="s">
        <v>28</v>
      </c>
      <c r="K12" s="12" t="s">
        <v>27</v>
      </c>
      <c r="L12" s="12" t="s">
        <v>91</v>
      </c>
      <c r="M12" s="12" t="s">
        <v>92</v>
      </c>
      <c r="N12" s="15">
        <v>43811</v>
      </c>
      <c r="O12" s="12" t="s">
        <v>93</v>
      </c>
      <c r="P12" s="12" t="s">
        <v>30</v>
      </c>
      <c r="Q12" s="12" t="s">
        <v>33</v>
      </c>
      <c r="R12" s="12" t="s">
        <v>34</v>
      </c>
      <c r="S12" s="12" t="s">
        <v>38</v>
      </c>
      <c r="T12" s="14" t="s">
        <v>44</v>
      </c>
      <c r="U12" s="12">
        <v>15.570934256055365</v>
      </c>
      <c r="V12" s="14" t="s">
        <v>94</v>
      </c>
    </row>
    <row r="13" spans="1:22" x14ac:dyDescent="0.25">
      <c r="A13" s="11">
        <v>12</v>
      </c>
      <c r="B13" s="12" t="s">
        <v>20</v>
      </c>
      <c r="C13" s="12" t="s">
        <v>23</v>
      </c>
      <c r="D13" s="12" t="s">
        <v>95</v>
      </c>
      <c r="E13" s="17">
        <v>1.7</v>
      </c>
      <c r="F13" s="12">
        <v>80</v>
      </c>
      <c r="G13" s="12" t="s">
        <v>25</v>
      </c>
      <c r="H13" s="12" t="s">
        <v>24</v>
      </c>
      <c r="I13" s="12">
        <v>1</v>
      </c>
      <c r="J13" s="12" t="s">
        <v>27</v>
      </c>
      <c r="K13" s="12" t="s">
        <v>27</v>
      </c>
      <c r="L13" s="12" t="s">
        <v>96</v>
      </c>
      <c r="M13" s="12" t="s">
        <v>92</v>
      </c>
      <c r="N13" s="15">
        <v>43800</v>
      </c>
      <c r="O13" s="12" t="s">
        <v>97</v>
      </c>
      <c r="P13" s="12" t="s">
        <v>30</v>
      </c>
      <c r="Q13" s="12" t="s">
        <v>33</v>
      </c>
      <c r="R13" s="12" t="s">
        <v>34</v>
      </c>
      <c r="S13" s="12" t="s">
        <v>38</v>
      </c>
      <c r="T13" s="14" t="s">
        <v>27</v>
      </c>
      <c r="U13" s="12">
        <v>27.681660899653981</v>
      </c>
      <c r="V13" s="14" t="s">
        <v>62</v>
      </c>
    </row>
    <row r="14" spans="1:22" x14ac:dyDescent="0.25">
      <c r="A14" s="11">
        <v>13</v>
      </c>
      <c r="B14" s="12" t="s">
        <v>21</v>
      </c>
      <c r="C14" s="12" t="s">
        <v>22</v>
      </c>
      <c r="D14" s="15" t="s">
        <v>120</v>
      </c>
      <c r="E14" s="13">
        <v>1.59</v>
      </c>
      <c r="F14" s="12">
        <v>80</v>
      </c>
      <c r="G14" s="12" t="s">
        <v>54</v>
      </c>
      <c r="H14" s="12" t="s">
        <v>24</v>
      </c>
      <c r="I14" s="12">
        <v>19</v>
      </c>
      <c r="J14" s="12" t="s">
        <v>28</v>
      </c>
      <c r="K14" s="12" t="s">
        <v>27</v>
      </c>
      <c r="L14" s="12" t="s">
        <v>98</v>
      </c>
      <c r="M14" s="12" t="s">
        <v>99</v>
      </c>
      <c r="N14" s="15">
        <v>43559</v>
      </c>
      <c r="O14" s="12" t="s">
        <v>100</v>
      </c>
      <c r="P14" s="12" t="s">
        <v>30</v>
      </c>
      <c r="Q14" s="12" t="s">
        <v>32</v>
      </c>
      <c r="R14" s="12" t="s">
        <v>36</v>
      </c>
      <c r="S14" s="12" t="s">
        <v>42</v>
      </c>
      <c r="T14" s="14" t="s">
        <v>27</v>
      </c>
      <c r="U14" s="12">
        <v>31.644317867172973</v>
      </c>
      <c r="V14" s="14" t="s">
        <v>77</v>
      </c>
    </row>
    <row r="15" spans="1:22" x14ac:dyDescent="0.25">
      <c r="A15" s="11">
        <v>14</v>
      </c>
      <c r="B15" s="12" t="s">
        <v>21</v>
      </c>
      <c r="C15" s="12" t="s">
        <v>22</v>
      </c>
      <c r="D15" s="15" t="s">
        <v>120</v>
      </c>
      <c r="E15" s="13">
        <v>1.82</v>
      </c>
      <c r="F15" s="12">
        <v>80</v>
      </c>
      <c r="G15" s="12" t="s">
        <v>54</v>
      </c>
      <c r="H15" s="12" t="s">
        <v>24</v>
      </c>
      <c r="I15" s="12">
        <v>0</v>
      </c>
      <c r="J15" s="12" t="s">
        <v>28</v>
      </c>
      <c r="K15" s="12" t="s">
        <v>27</v>
      </c>
      <c r="L15" s="12" t="s">
        <v>101</v>
      </c>
      <c r="M15" s="12" t="s">
        <v>102</v>
      </c>
      <c r="N15" s="15">
        <v>43559</v>
      </c>
      <c r="O15" s="12" t="s">
        <v>100</v>
      </c>
      <c r="P15" s="12" t="s">
        <v>31</v>
      </c>
      <c r="Q15" s="12" t="s">
        <v>32</v>
      </c>
      <c r="R15" s="12" t="s">
        <v>36</v>
      </c>
      <c r="S15" s="12" t="s">
        <v>42</v>
      </c>
      <c r="T15" s="14" t="s">
        <v>27</v>
      </c>
      <c r="U15" s="12">
        <v>24.151672503320853</v>
      </c>
      <c r="V15" s="14" t="s">
        <v>59</v>
      </c>
    </row>
    <row r="16" spans="1:22" x14ac:dyDescent="0.25">
      <c r="A16" s="11">
        <v>15</v>
      </c>
      <c r="B16" s="12" t="s">
        <v>21</v>
      </c>
      <c r="C16" s="12" t="s">
        <v>22</v>
      </c>
      <c r="D16" s="15" t="s">
        <v>121</v>
      </c>
      <c r="E16" s="13">
        <v>1.72</v>
      </c>
      <c r="F16" s="12">
        <v>110</v>
      </c>
      <c r="G16" s="12" t="s">
        <v>54</v>
      </c>
      <c r="H16" s="12" t="s">
        <v>25</v>
      </c>
      <c r="I16" s="12">
        <v>0</v>
      </c>
      <c r="J16" s="12" t="s">
        <v>28</v>
      </c>
      <c r="K16" s="12" t="s">
        <v>27</v>
      </c>
      <c r="L16" s="12" t="s">
        <v>103</v>
      </c>
      <c r="M16" s="12" t="s">
        <v>104</v>
      </c>
      <c r="N16" s="15">
        <v>43562</v>
      </c>
      <c r="O16" s="15">
        <v>43745</v>
      </c>
      <c r="P16" s="12" t="s">
        <v>31</v>
      </c>
      <c r="Q16" s="12" t="s">
        <v>32</v>
      </c>
      <c r="R16" s="12" t="s">
        <v>36</v>
      </c>
      <c r="S16" s="12" t="s">
        <v>38</v>
      </c>
      <c r="T16" s="14" t="s">
        <v>27</v>
      </c>
      <c r="U16" s="12">
        <v>37.182260681449435</v>
      </c>
      <c r="V16" s="14" t="s">
        <v>105</v>
      </c>
    </row>
    <row r="17" spans="1:22" x14ac:dyDescent="0.25">
      <c r="A17" s="11">
        <v>16</v>
      </c>
      <c r="B17" s="12" t="s">
        <v>20</v>
      </c>
      <c r="C17" s="12" t="s">
        <v>23</v>
      </c>
      <c r="D17" s="15" t="s">
        <v>122</v>
      </c>
      <c r="E17" s="13">
        <v>1.72</v>
      </c>
      <c r="F17" s="12">
        <v>58</v>
      </c>
      <c r="G17" s="12" t="s">
        <v>25</v>
      </c>
      <c r="H17" s="12" t="s">
        <v>25</v>
      </c>
      <c r="I17" s="12">
        <v>0</v>
      </c>
      <c r="J17" s="12" t="s">
        <v>28</v>
      </c>
      <c r="K17" s="12" t="s">
        <v>27</v>
      </c>
      <c r="L17" s="12" t="s">
        <v>106</v>
      </c>
      <c r="M17" s="12" t="s">
        <v>107</v>
      </c>
      <c r="N17" s="15">
        <v>43556</v>
      </c>
      <c r="O17" s="15">
        <v>43739</v>
      </c>
      <c r="P17" s="12" t="s">
        <v>31</v>
      </c>
      <c r="Q17" s="12" t="s">
        <v>32</v>
      </c>
      <c r="R17" s="12" t="s">
        <v>35</v>
      </c>
      <c r="S17" s="12" t="s">
        <v>40</v>
      </c>
      <c r="T17" s="14" t="s">
        <v>27</v>
      </c>
      <c r="U17" s="12">
        <v>19.605191995673341</v>
      </c>
      <c r="V17" s="14" t="s">
        <v>59</v>
      </c>
    </row>
    <row r="18" spans="1:22" x14ac:dyDescent="0.25">
      <c r="A18" s="11">
        <v>17</v>
      </c>
      <c r="B18" s="12" t="s">
        <v>20</v>
      </c>
      <c r="C18" s="12" t="s">
        <v>23</v>
      </c>
      <c r="D18" s="15" t="s">
        <v>123</v>
      </c>
      <c r="E18" s="13">
        <v>1.72</v>
      </c>
      <c r="F18" s="12">
        <v>78</v>
      </c>
      <c r="G18" s="12" t="s">
        <v>24</v>
      </c>
      <c r="H18" s="12" t="s">
        <v>25</v>
      </c>
      <c r="I18" s="12">
        <v>0</v>
      </c>
      <c r="J18" s="12" t="s">
        <v>28</v>
      </c>
      <c r="K18" s="12" t="s">
        <v>27</v>
      </c>
      <c r="L18" s="12" t="s">
        <v>108</v>
      </c>
      <c r="M18" s="12" t="s">
        <v>109</v>
      </c>
      <c r="N18" s="15">
        <v>43556</v>
      </c>
      <c r="O18" s="12" t="s">
        <v>110</v>
      </c>
      <c r="P18" s="12" t="s">
        <v>29</v>
      </c>
      <c r="Q18" s="12" t="s">
        <v>32</v>
      </c>
      <c r="R18" s="12" t="s">
        <v>36</v>
      </c>
      <c r="S18" s="12" t="s">
        <v>38</v>
      </c>
      <c r="T18" s="14" t="s">
        <v>27</v>
      </c>
      <c r="U18" s="12">
        <v>26.365603028664147</v>
      </c>
      <c r="V18" s="14" t="s">
        <v>62</v>
      </c>
    </row>
    <row r="19" spans="1:22" x14ac:dyDescent="0.25">
      <c r="A19" s="11">
        <v>18</v>
      </c>
      <c r="B19" s="12" t="s">
        <v>20</v>
      </c>
      <c r="C19" s="12" t="s">
        <v>23</v>
      </c>
      <c r="D19" s="15" t="s">
        <v>124</v>
      </c>
      <c r="E19" s="13">
        <v>1.55</v>
      </c>
      <c r="F19" s="12">
        <v>78</v>
      </c>
      <c r="G19" s="12" t="s">
        <v>25</v>
      </c>
      <c r="H19" s="12" t="s">
        <v>24</v>
      </c>
      <c r="I19" s="12">
        <v>0</v>
      </c>
      <c r="J19" s="12" t="s">
        <v>28</v>
      </c>
      <c r="K19" s="12" t="s">
        <v>27</v>
      </c>
      <c r="L19" s="12" t="s">
        <v>111</v>
      </c>
      <c r="M19" s="12" t="s">
        <v>112</v>
      </c>
      <c r="N19" s="15">
        <v>43556</v>
      </c>
      <c r="O19" s="15">
        <v>43556</v>
      </c>
      <c r="P19" s="12" t="s">
        <v>31</v>
      </c>
      <c r="Q19" s="12" t="s">
        <v>32</v>
      </c>
      <c r="R19" s="12" t="s">
        <v>36</v>
      </c>
      <c r="S19" s="12" t="s">
        <v>38</v>
      </c>
      <c r="T19" s="14" t="s">
        <v>27</v>
      </c>
      <c r="U19" s="12">
        <v>32.46618106139438</v>
      </c>
      <c r="V19" s="14" t="s">
        <v>77</v>
      </c>
    </row>
    <row r="20" spans="1:22" x14ac:dyDescent="0.25">
      <c r="A20" s="11">
        <v>19</v>
      </c>
      <c r="B20" s="12" t="s">
        <v>20</v>
      </c>
      <c r="C20" s="12" t="s">
        <v>23</v>
      </c>
      <c r="D20" s="15" t="s">
        <v>125</v>
      </c>
      <c r="E20" s="13">
        <v>1.62</v>
      </c>
      <c r="F20" s="12">
        <v>78</v>
      </c>
      <c r="G20" s="12" t="s">
        <v>25</v>
      </c>
      <c r="H20" s="12" t="s">
        <v>25</v>
      </c>
      <c r="I20" s="12">
        <v>20</v>
      </c>
      <c r="J20" s="12" t="s">
        <v>28</v>
      </c>
      <c r="K20" s="12" t="s">
        <v>27</v>
      </c>
      <c r="L20" s="12" t="s">
        <v>113</v>
      </c>
      <c r="M20" s="12" t="s">
        <v>61</v>
      </c>
      <c r="N20" s="12" t="s">
        <v>114</v>
      </c>
      <c r="O20" s="12" t="s">
        <v>115</v>
      </c>
      <c r="P20" s="12" t="s">
        <v>30</v>
      </c>
      <c r="Q20" s="12" t="s">
        <v>33</v>
      </c>
      <c r="R20" s="12" t="s">
        <v>37</v>
      </c>
      <c r="S20" s="12" t="s">
        <v>38</v>
      </c>
      <c r="T20" s="14" t="s">
        <v>44</v>
      </c>
      <c r="U20" s="12">
        <v>29.721079103795148</v>
      </c>
      <c r="V20" s="14" t="s">
        <v>62</v>
      </c>
    </row>
    <row r="21" spans="1:22" x14ac:dyDescent="0.25">
      <c r="A21" s="11">
        <v>20</v>
      </c>
      <c r="B21" s="12" t="s">
        <v>20</v>
      </c>
      <c r="C21" s="12" t="s">
        <v>23</v>
      </c>
      <c r="D21" s="15">
        <v>42014</v>
      </c>
      <c r="E21" s="13">
        <v>1.3</v>
      </c>
      <c r="F21" s="12">
        <v>25</v>
      </c>
      <c r="G21" s="12" t="s">
        <v>25</v>
      </c>
      <c r="H21" s="12" t="s">
        <v>25</v>
      </c>
      <c r="I21" s="12">
        <v>0</v>
      </c>
      <c r="J21" s="12" t="s">
        <v>28</v>
      </c>
      <c r="K21" s="12" t="s">
        <v>27</v>
      </c>
      <c r="L21" s="12" t="s">
        <v>126</v>
      </c>
      <c r="M21" s="12" t="s">
        <v>127</v>
      </c>
      <c r="N21" s="12" t="s">
        <v>114</v>
      </c>
      <c r="O21" s="12" t="s">
        <v>115</v>
      </c>
      <c r="P21" s="12" t="s">
        <v>29</v>
      </c>
      <c r="Q21" s="12" t="s">
        <v>33</v>
      </c>
      <c r="R21" s="12" t="s">
        <v>37</v>
      </c>
      <c r="S21" s="12" t="s">
        <v>38</v>
      </c>
      <c r="T21" s="14" t="s">
        <v>27</v>
      </c>
      <c r="U21" s="12">
        <v>14.792899408284022</v>
      </c>
      <c r="V21" s="14" t="s">
        <v>94</v>
      </c>
    </row>
    <row r="22" spans="1:22" x14ac:dyDescent="0.25">
      <c r="A22" s="11">
        <v>21</v>
      </c>
      <c r="B22" s="12" t="s">
        <v>21</v>
      </c>
      <c r="C22" s="12" t="s">
        <v>23</v>
      </c>
      <c r="D22" s="12" t="s">
        <v>128</v>
      </c>
      <c r="E22" s="13">
        <v>1.7</v>
      </c>
      <c r="F22" s="12">
        <v>95</v>
      </c>
      <c r="G22" s="12" t="s">
        <v>25</v>
      </c>
      <c r="H22" s="12" t="s">
        <v>25</v>
      </c>
      <c r="I22" s="12">
        <v>0</v>
      </c>
      <c r="J22" s="12" t="s">
        <v>28</v>
      </c>
      <c r="K22" s="12" t="s">
        <v>27</v>
      </c>
      <c r="L22" s="12" t="s">
        <v>129</v>
      </c>
      <c r="M22" s="12" t="s">
        <v>127</v>
      </c>
      <c r="N22" s="12" t="s">
        <v>76</v>
      </c>
      <c r="O22" s="12" t="s">
        <v>130</v>
      </c>
      <c r="P22" s="12" t="s">
        <v>30</v>
      </c>
      <c r="Q22" s="12" t="s">
        <v>33</v>
      </c>
      <c r="R22" s="12" t="s">
        <v>37</v>
      </c>
      <c r="S22" s="12" t="s">
        <v>38</v>
      </c>
      <c r="T22" s="14" t="s">
        <v>44</v>
      </c>
      <c r="U22" s="12">
        <v>32.871972318339104</v>
      </c>
      <c r="V22" s="14" t="s">
        <v>77</v>
      </c>
    </row>
    <row r="23" spans="1:22" x14ac:dyDescent="0.25">
      <c r="A23" s="11">
        <v>22</v>
      </c>
      <c r="B23" s="12" t="s">
        <v>21</v>
      </c>
      <c r="C23" s="12" t="s">
        <v>23</v>
      </c>
      <c r="D23" s="12" t="s">
        <v>131</v>
      </c>
      <c r="E23" s="13">
        <v>1.7</v>
      </c>
      <c r="F23" s="12">
        <v>55</v>
      </c>
      <c r="G23" s="12" t="s">
        <v>25</v>
      </c>
      <c r="H23" s="12" t="s">
        <v>24</v>
      </c>
      <c r="I23" s="12">
        <v>64</v>
      </c>
      <c r="J23" s="12" t="s">
        <v>28</v>
      </c>
      <c r="K23" s="12" t="s">
        <v>27</v>
      </c>
      <c r="L23" s="12" t="s">
        <v>132</v>
      </c>
      <c r="M23" s="12" t="s">
        <v>133</v>
      </c>
      <c r="N23" s="12" t="s">
        <v>134</v>
      </c>
      <c r="O23" s="12" t="s">
        <v>135</v>
      </c>
      <c r="P23" s="12" t="s">
        <v>30</v>
      </c>
      <c r="Q23" s="12" t="s">
        <v>33</v>
      </c>
      <c r="R23" s="12" t="s">
        <v>36</v>
      </c>
      <c r="S23" s="12" t="s">
        <v>38</v>
      </c>
      <c r="T23" s="14" t="s">
        <v>27</v>
      </c>
      <c r="U23" s="12">
        <v>19.031141868512112</v>
      </c>
      <c r="V23" s="14" t="s">
        <v>59</v>
      </c>
    </row>
    <row r="24" spans="1:22" x14ac:dyDescent="0.25">
      <c r="A24" s="11">
        <v>23</v>
      </c>
      <c r="B24" s="12" t="s">
        <v>21</v>
      </c>
      <c r="C24" s="12" t="s">
        <v>23</v>
      </c>
      <c r="D24" s="12" t="s">
        <v>136</v>
      </c>
      <c r="E24" s="13">
        <v>1.67</v>
      </c>
      <c r="F24" s="12">
        <v>115</v>
      </c>
      <c r="G24" s="12" t="s">
        <v>25</v>
      </c>
      <c r="H24" s="12" t="s">
        <v>24</v>
      </c>
      <c r="I24" s="12">
        <v>6</v>
      </c>
      <c r="J24" s="12" t="s">
        <v>28</v>
      </c>
      <c r="K24" s="12" t="s">
        <v>27</v>
      </c>
      <c r="L24" s="12" t="s">
        <v>137</v>
      </c>
      <c r="M24" s="12" t="s">
        <v>138</v>
      </c>
      <c r="N24" s="12" t="s">
        <v>134</v>
      </c>
      <c r="O24" s="15">
        <v>43499</v>
      </c>
      <c r="P24" s="12" t="s">
        <v>30</v>
      </c>
      <c r="Q24" s="12" t="s">
        <v>32</v>
      </c>
      <c r="R24" s="12" t="s">
        <v>35</v>
      </c>
      <c r="S24" s="12" t="s">
        <v>38</v>
      </c>
      <c r="T24" s="14" t="s">
        <v>45</v>
      </c>
      <c r="U24" s="12">
        <v>41.234895478504072</v>
      </c>
      <c r="V24" s="14" t="s">
        <v>139</v>
      </c>
    </row>
    <row r="25" spans="1:22" x14ac:dyDescent="0.25">
      <c r="A25" s="11">
        <v>24</v>
      </c>
      <c r="B25" s="12" t="s">
        <v>21</v>
      </c>
      <c r="C25" s="12" t="s">
        <v>23</v>
      </c>
      <c r="D25" s="12" t="s">
        <v>140</v>
      </c>
      <c r="E25" s="13">
        <v>1.86</v>
      </c>
      <c r="F25" s="12">
        <v>115</v>
      </c>
      <c r="G25" s="12" t="s">
        <v>25</v>
      </c>
      <c r="H25" s="12" t="s">
        <v>24</v>
      </c>
      <c r="I25" s="12">
        <v>6</v>
      </c>
      <c r="J25" s="12" t="s">
        <v>28</v>
      </c>
      <c r="K25" s="12" t="s">
        <v>27</v>
      </c>
      <c r="L25" s="12" t="s">
        <v>141</v>
      </c>
      <c r="M25" s="12" t="s">
        <v>72</v>
      </c>
      <c r="N25" s="12" t="s">
        <v>142</v>
      </c>
      <c r="O25" s="12" t="s">
        <v>73</v>
      </c>
      <c r="P25" s="12" t="s">
        <v>30</v>
      </c>
      <c r="Q25" s="12" t="s">
        <v>32</v>
      </c>
      <c r="R25" s="12" t="s">
        <v>36</v>
      </c>
      <c r="S25" s="12" t="s">
        <v>38</v>
      </c>
      <c r="T25" s="14" t="s">
        <v>45</v>
      </c>
      <c r="U25" s="12">
        <v>33.240837090993175</v>
      </c>
      <c r="V25" s="14" t="s">
        <v>77</v>
      </c>
    </row>
    <row r="26" spans="1:22" x14ac:dyDescent="0.25">
      <c r="A26" s="11">
        <v>25</v>
      </c>
      <c r="B26" s="12" t="s">
        <v>21</v>
      </c>
      <c r="C26" s="12" t="s">
        <v>23</v>
      </c>
      <c r="D26" s="15">
        <v>23746</v>
      </c>
      <c r="E26" s="13">
        <v>1.86</v>
      </c>
      <c r="F26" s="12">
        <v>65</v>
      </c>
      <c r="G26" s="12" t="s">
        <v>25</v>
      </c>
      <c r="H26" s="12" t="s">
        <v>24</v>
      </c>
      <c r="I26" s="12">
        <v>16</v>
      </c>
      <c r="J26" s="12" t="s">
        <v>27</v>
      </c>
      <c r="K26" s="12" t="s">
        <v>27</v>
      </c>
      <c r="L26" s="12" t="s">
        <v>141</v>
      </c>
      <c r="M26" s="12" t="s">
        <v>72</v>
      </c>
      <c r="N26" s="12" t="s">
        <v>143</v>
      </c>
      <c r="O26" s="12" t="s">
        <v>144</v>
      </c>
      <c r="P26" s="12" t="s">
        <v>29</v>
      </c>
      <c r="Q26" s="12" t="s">
        <v>33</v>
      </c>
      <c r="R26" s="12" t="s">
        <v>36</v>
      </c>
      <c r="S26" s="12" t="s">
        <v>38</v>
      </c>
      <c r="T26" s="14" t="s">
        <v>45</v>
      </c>
      <c r="U26" s="12">
        <v>18.78829922534397</v>
      </c>
      <c r="V26" s="14" t="s">
        <v>59</v>
      </c>
    </row>
    <row r="27" spans="1:22" x14ac:dyDescent="0.25">
      <c r="A27" s="11">
        <v>26</v>
      </c>
      <c r="B27" s="12" t="s">
        <v>20</v>
      </c>
      <c r="C27" s="12" t="s">
        <v>22</v>
      </c>
      <c r="D27" s="15">
        <v>19728</v>
      </c>
      <c r="E27" s="13">
        <v>1.86</v>
      </c>
      <c r="F27" s="12">
        <v>62</v>
      </c>
      <c r="G27" s="12" t="s">
        <v>54</v>
      </c>
      <c r="H27" s="12" t="s">
        <v>24</v>
      </c>
      <c r="I27" s="12">
        <v>1</v>
      </c>
      <c r="J27" s="12" t="s">
        <v>28</v>
      </c>
      <c r="K27" s="12" t="s">
        <v>27</v>
      </c>
      <c r="L27" s="12" t="s">
        <v>60</v>
      </c>
      <c r="M27" s="12" t="s">
        <v>87</v>
      </c>
      <c r="N27" s="15">
        <v>43740</v>
      </c>
      <c r="O27" s="15">
        <v>43741</v>
      </c>
      <c r="P27" s="12" t="s">
        <v>31</v>
      </c>
      <c r="Q27" s="12" t="s">
        <v>33</v>
      </c>
      <c r="R27" s="12" t="s">
        <v>35</v>
      </c>
      <c r="S27" s="12" t="s">
        <v>40</v>
      </c>
      <c r="T27" s="14" t="s">
        <v>45</v>
      </c>
      <c r="U27" s="12">
        <v>17.921146953405014</v>
      </c>
      <c r="V27" s="14" t="s">
        <v>82</v>
      </c>
    </row>
    <row r="28" spans="1:22" x14ac:dyDescent="0.25">
      <c r="A28" s="11">
        <v>27</v>
      </c>
      <c r="B28" s="12" t="s">
        <v>20</v>
      </c>
      <c r="C28" s="12" t="s">
        <v>22</v>
      </c>
      <c r="D28" s="15">
        <v>14614</v>
      </c>
      <c r="E28" s="13">
        <v>1.66</v>
      </c>
      <c r="F28" s="12">
        <v>69</v>
      </c>
      <c r="G28" s="12" t="s">
        <v>54</v>
      </c>
      <c r="H28" s="12" t="s">
        <v>24</v>
      </c>
      <c r="I28" s="12">
        <v>19</v>
      </c>
      <c r="J28" s="12" t="s">
        <v>28</v>
      </c>
      <c r="K28" s="12" t="s">
        <v>27</v>
      </c>
      <c r="L28" s="12" t="s">
        <v>60</v>
      </c>
      <c r="M28" s="12" t="s">
        <v>87</v>
      </c>
      <c r="N28" s="15">
        <v>43740</v>
      </c>
      <c r="O28" s="15">
        <v>43741</v>
      </c>
      <c r="P28" s="12" t="s">
        <v>31</v>
      </c>
      <c r="Q28" s="12" t="s">
        <v>33</v>
      </c>
      <c r="R28" s="12" t="s">
        <v>35</v>
      </c>
      <c r="S28" s="12" t="s">
        <v>41</v>
      </c>
      <c r="T28" s="14" t="s">
        <v>44</v>
      </c>
      <c r="U28" s="12">
        <v>25.039918710988534</v>
      </c>
      <c r="V28" s="14" t="s">
        <v>62</v>
      </c>
    </row>
    <row r="29" spans="1:22" x14ac:dyDescent="0.25">
      <c r="A29" s="11">
        <v>28</v>
      </c>
      <c r="B29" s="12" t="s">
        <v>20</v>
      </c>
      <c r="C29" s="12" t="s">
        <v>22</v>
      </c>
      <c r="D29" s="15">
        <v>14705</v>
      </c>
      <c r="E29" s="13">
        <v>1.66</v>
      </c>
      <c r="F29" s="12">
        <v>80</v>
      </c>
      <c r="G29" s="12" t="s">
        <v>54</v>
      </c>
      <c r="H29" s="12" t="s">
        <v>24</v>
      </c>
      <c r="I29" s="12">
        <v>9</v>
      </c>
      <c r="J29" s="12" t="s">
        <v>28</v>
      </c>
      <c r="K29" s="12" t="s">
        <v>27</v>
      </c>
      <c r="L29" s="12" t="s">
        <v>111</v>
      </c>
      <c r="M29" s="12" t="s">
        <v>145</v>
      </c>
      <c r="N29" s="15">
        <v>43745</v>
      </c>
      <c r="O29" s="15">
        <v>43806</v>
      </c>
      <c r="P29" s="12" t="s">
        <v>29</v>
      </c>
      <c r="Q29" s="12" t="s">
        <v>33</v>
      </c>
      <c r="R29" s="12" t="s">
        <v>37</v>
      </c>
      <c r="S29" s="12" t="s">
        <v>42</v>
      </c>
      <c r="T29" s="14" t="s">
        <v>44</v>
      </c>
      <c r="U29" s="12">
        <v>29.031789809841779</v>
      </c>
      <c r="V29" s="14" t="s">
        <v>62</v>
      </c>
    </row>
    <row r="30" spans="1:22" x14ac:dyDescent="0.25">
      <c r="A30" s="11">
        <v>29</v>
      </c>
      <c r="B30" s="12" t="s">
        <v>20</v>
      </c>
      <c r="C30" s="12" t="s">
        <v>22</v>
      </c>
      <c r="D30" s="15">
        <v>40272</v>
      </c>
      <c r="E30" s="13">
        <v>1.55</v>
      </c>
      <c r="F30" s="12">
        <v>101</v>
      </c>
      <c r="G30" s="12" t="s">
        <v>54</v>
      </c>
      <c r="H30" s="12" t="s">
        <v>24</v>
      </c>
      <c r="I30" s="12">
        <v>50</v>
      </c>
      <c r="J30" s="12" t="s">
        <v>28</v>
      </c>
      <c r="K30" s="12" t="s">
        <v>27</v>
      </c>
      <c r="L30" s="12" t="s">
        <v>146</v>
      </c>
      <c r="M30" s="12" t="s">
        <v>147</v>
      </c>
      <c r="N30" s="15">
        <v>43656</v>
      </c>
      <c r="O30" s="15">
        <v>43748</v>
      </c>
      <c r="P30" s="12" t="s">
        <v>29</v>
      </c>
      <c r="Q30" s="12" t="s">
        <v>33</v>
      </c>
      <c r="R30" s="12" t="s">
        <v>37</v>
      </c>
      <c r="S30" s="12" t="s">
        <v>38</v>
      </c>
      <c r="T30" s="14" t="s">
        <v>27</v>
      </c>
      <c r="U30" s="12">
        <v>42.039542143600414</v>
      </c>
      <c r="V30" s="14" t="s">
        <v>139</v>
      </c>
    </row>
    <row r="31" spans="1:22" x14ac:dyDescent="0.25">
      <c r="A31" s="11">
        <v>30</v>
      </c>
      <c r="B31" s="12" t="s">
        <v>20</v>
      </c>
      <c r="C31" s="12" t="s">
        <v>22</v>
      </c>
      <c r="D31" s="12" t="s">
        <v>90</v>
      </c>
      <c r="E31" s="13">
        <v>1.7</v>
      </c>
      <c r="F31" s="12">
        <v>46</v>
      </c>
      <c r="G31" s="12" t="s">
        <v>54</v>
      </c>
      <c r="H31" s="12" t="s">
        <v>24</v>
      </c>
      <c r="I31" s="12">
        <v>24</v>
      </c>
      <c r="J31" s="12" t="s">
        <v>28</v>
      </c>
      <c r="K31" s="12" t="s">
        <v>27</v>
      </c>
      <c r="L31" s="12" t="s">
        <v>148</v>
      </c>
      <c r="M31" s="12" t="s">
        <v>149</v>
      </c>
      <c r="N31" s="12" t="s">
        <v>150</v>
      </c>
      <c r="O31" s="12" t="s">
        <v>151</v>
      </c>
      <c r="P31" s="12" t="s">
        <v>30</v>
      </c>
      <c r="Q31" s="12" t="s">
        <v>33</v>
      </c>
      <c r="R31" s="12" t="s">
        <v>36</v>
      </c>
      <c r="S31" s="12" t="s">
        <v>42</v>
      </c>
      <c r="T31" s="14" t="s">
        <v>45</v>
      </c>
      <c r="U31" s="12">
        <v>15.91695501730104</v>
      </c>
      <c r="V31" s="14" t="s">
        <v>94</v>
      </c>
    </row>
    <row r="32" spans="1:22" x14ac:dyDescent="0.25">
      <c r="A32" s="11">
        <v>31</v>
      </c>
      <c r="B32" s="12" t="s">
        <v>20</v>
      </c>
      <c r="C32" s="12" t="s">
        <v>22</v>
      </c>
      <c r="D32" s="12" t="s">
        <v>152</v>
      </c>
      <c r="E32" s="13">
        <v>1.7</v>
      </c>
      <c r="F32" s="12">
        <v>89</v>
      </c>
      <c r="G32" s="12" t="s">
        <v>54</v>
      </c>
      <c r="H32" s="12" t="s">
        <v>24</v>
      </c>
      <c r="I32" s="12">
        <v>4</v>
      </c>
      <c r="J32" s="12" t="s">
        <v>28</v>
      </c>
      <c r="K32" s="12" t="s">
        <v>27</v>
      </c>
      <c r="L32" s="12" t="s">
        <v>91</v>
      </c>
      <c r="M32" s="12" t="s">
        <v>149</v>
      </c>
      <c r="N32" s="12" t="s">
        <v>153</v>
      </c>
      <c r="O32" s="15">
        <v>43532</v>
      </c>
      <c r="P32" s="12" t="s">
        <v>30</v>
      </c>
      <c r="Q32" s="12" t="s">
        <v>33</v>
      </c>
      <c r="R32" s="12" t="s">
        <v>36</v>
      </c>
      <c r="S32" s="12" t="s">
        <v>39</v>
      </c>
      <c r="T32" s="14" t="s">
        <v>45</v>
      </c>
      <c r="U32" s="12">
        <v>30.795847750865054</v>
      </c>
      <c r="V32" s="14" t="s">
        <v>77</v>
      </c>
    </row>
    <row r="33" spans="1:22" x14ac:dyDescent="0.25">
      <c r="A33" s="11">
        <v>32</v>
      </c>
      <c r="B33" s="12" t="s">
        <v>21</v>
      </c>
      <c r="C33" s="12" t="s">
        <v>23</v>
      </c>
      <c r="D33" s="12" t="s">
        <v>154</v>
      </c>
      <c r="E33" s="13">
        <v>1.78</v>
      </c>
      <c r="F33" s="12">
        <v>89</v>
      </c>
      <c r="G33" s="12" t="s">
        <v>24</v>
      </c>
      <c r="H33" s="12" t="s">
        <v>25</v>
      </c>
      <c r="I33" s="12">
        <v>40</v>
      </c>
      <c r="J33" s="12" t="s">
        <v>28</v>
      </c>
      <c r="K33" s="12" t="s">
        <v>27</v>
      </c>
      <c r="L33" s="12" t="s">
        <v>60</v>
      </c>
      <c r="M33" s="12" t="s">
        <v>61</v>
      </c>
      <c r="N33" s="15">
        <v>43466</v>
      </c>
      <c r="O33" s="15">
        <v>43525</v>
      </c>
      <c r="P33" s="12" t="s">
        <v>31</v>
      </c>
      <c r="Q33" s="12" t="s">
        <v>33</v>
      </c>
      <c r="R33" s="12" t="s">
        <v>36</v>
      </c>
      <c r="S33" s="12" t="s">
        <v>42</v>
      </c>
      <c r="T33" s="14" t="s">
        <v>45</v>
      </c>
      <c r="U33" s="12">
        <v>28.089887640449437</v>
      </c>
      <c r="V33" s="14" t="s">
        <v>62</v>
      </c>
    </row>
    <row r="34" spans="1:22" x14ac:dyDescent="0.25">
      <c r="A34" s="11">
        <v>33</v>
      </c>
      <c r="B34" s="12" t="s">
        <v>21</v>
      </c>
      <c r="C34" s="12" t="s">
        <v>23</v>
      </c>
      <c r="D34" s="15">
        <v>33884</v>
      </c>
      <c r="E34" s="13">
        <v>1.78</v>
      </c>
      <c r="F34" s="12">
        <v>54</v>
      </c>
      <c r="G34" s="12" t="s">
        <v>24</v>
      </c>
      <c r="H34" s="12" t="s">
        <v>25</v>
      </c>
      <c r="I34" s="12">
        <v>40</v>
      </c>
      <c r="J34" s="12" t="s">
        <v>27</v>
      </c>
      <c r="K34" s="12" t="s">
        <v>27</v>
      </c>
      <c r="L34" s="12" t="s">
        <v>60</v>
      </c>
      <c r="M34" s="12" t="s">
        <v>61</v>
      </c>
      <c r="N34" s="15">
        <v>43745</v>
      </c>
      <c r="O34" s="15">
        <v>43525</v>
      </c>
      <c r="P34" s="12" t="s">
        <v>31</v>
      </c>
      <c r="Q34" s="12" t="s">
        <v>33</v>
      </c>
      <c r="R34" s="12" t="s">
        <v>36</v>
      </c>
      <c r="S34" s="12" t="s">
        <v>42</v>
      </c>
      <c r="T34" s="14" t="s">
        <v>44</v>
      </c>
      <c r="U34" s="12">
        <v>17.043302613306402</v>
      </c>
      <c r="V34" s="14" t="s">
        <v>82</v>
      </c>
    </row>
    <row r="35" spans="1:22" x14ac:dyDescent="0.25">
      <c r="A35" s="11">
        <v>34</v>
      </c>
      <c r="B35" s="12" t="s">
        <v>21</v>
      </c>
      <c r="C35" s="12" t="s">
        <v>22</v>
      </c>
      <c r="D35" s="15">
        <v>33884</v>
      </c>
      <c r="E35" s="13">
        <v>1.78</v>
      </c>
      <c r="F35" s="12">
        <v>54</v>
      </c>
      <c r="G35" s="12" t="s">
        <v>54</v>
      </c>
      <c r="H35" s="12" t="s">
        <v>25</v>
      </c>
      <c r="I35" s="12">
        <v>3</v>
      </c>
      <c r="J35" s="12" t="s">
        <v>28</v>
      </c>
      <c r="K35" s="12" t="s">
        <v>27</v>
      </c>
      <c r="L35" s="12" t="s">
        <v>155</v>
      </c>
      <c r="M35" s="12" t="s">
        <v>156</v>
      </c>
      <c r="N35" s="15">
        <v>43745</v>
      </c>
      <c r="O35" s="12" t="s">
        <v>157</v>
      </c>
      <c r="P35" s="12" t="s">
        <v>31</v>
      </c>
      <c r="Q35" s="12" t="s">
        <v>32</v>
      </c>
      <c r="R35" s="12" t="s">
        <v>35</v>
      </c>
      <c r="S35" s="12" t="s">
        <v>42</v>
      </c>
      <c r="T35" s="14" t="s">
        <v>44</v>
      </c>
      <c r="U35" s="12">
        <v>17.043302613306402</v>
      </c>
      <c r="V35" s="14" t="s">
        <v>82</v>
      </c>
    </row>
    <row r="36" spans="1:22" x14ac:dyDescent="0.25">
      <c r="A36" s="11">
        <v>35</v>
      </c>
      <c r="B36" s="12" t="s">
        <v>21</v>
      </c>
      <c r="C36" s="12" t="s">
        <v>22</v>
      </c>
      <c r="D36" s="15">
        <v>33729</v>
      </c>
      <c r="E36" s="13">
        <v>1.8</v>
      </c>
      <c r="F36" s="12">
        <v>76</v>
      </c>
      <c r="G36" s="12" t="s">
        <v>54</v>
      </c>
      <c r="H36" s="12" t="s">
        <v>25</v>
      </c>
      <c r="I36" s="12">
        <v>34</v>
      </c>
      <c r="J36" s="12" t="s">
        <v>28</v>
      </c>
      <c r="K36" s="12" t="s">
        <v>27</v>
      </c>
      <c r="L36" s="12" t="s">
        <v>84</v>
      </c>
      <c r="M36" s="12" t="s">
        <v>158</v>
      </c>
      <c r="N36" s="12" t="s">
        <v>159</v>
      </c>
      <c r="O36" s="15">
        <v>43473</v>
      </c>
      <c r="P36" s="12" t="s">
        <v>31</v>
      </c>
      <c r="Q36" s="12" t="s">
        <v>32</v>
      </c>
      <c r="R36" s="12" t="s">
        <v>36</v>
      </c>
      <c r="S36" s="12" t="s">
        <v>41</v>
      </c>
      <c r="T36" s="14" t="s">
        <v>27</v>
      </c>
      <c r="U36" s="12">
        <v>23.456790123456788</v>
      </c>
      <c r="V36" s="14" t="s">
        <v>59</v>
      </c>
    </row>
    <row r="37" spans="1:22" x14ac:dyDescent="0.25">
      <c r="A37" s="11">
        <v>36</v>
      </c>
      <c r="B37" s="12" t="s">
        <v>20</v>
      </c>
      <c r="C37" s="12" t="s">
        <v>23</v>
      </c>
      <c r="D37" s="15">
        <v>31902</v>
      </c>
      <c r="E37" s="13">
        <v>1.8</v>
      </c>
      <c r="F37" s="12">
        <v>103</v>
      </c>
      <c r="G37" s="12" t="s">
        <v>26</v>
      </c>
      <c r="H37" s="12" t="s">
        <v>24</v>
      </c>
      <c r="I37" s="12">
        <v>29</v>
      </c>
      <c r="J37" s="12" t="s">
        <v>28</v>
      </c>
      <c r="K37" s="12" t="s">
        <v>27</v>
      </c>
      <c r="L37" s="12" t="s">
        <v>84</v>
      </c>
      <c r="M37" s="12" t="s">
        <v>160</v>
      </c>
      <c r="N37" s="15">
        <v>43653</v>
      </c>
      <c r="O37" s="15">
        <v>43473</v>
      </c>
      <c r="P37" s="12" t="s">
        <v>31</v>
      </c>
      <c r="Q37" s="12" t="s">
        <v>32</v>
      </c>
      <c r="R37" s="12" t="s">
        <v>36</v>
      </c>
      <c r="S37" s="12" t="s">
        <v>39</v>
      </c>
      <c r="T37" s="14" t="s">
        <v>27</v>
      </c>
      <c r="U37" s="12">
        <v>31.79012345679012</v>
      </c>
      <c r="V37" s="14" t="s">
        <v>77</v>
      </c>
    </row>
    <row r="38" spans="1:22" x14ac:dyDescent="0.25">
      <c r="A38" s="11">
        <v>37</v>
      </c>
      <c r="B38" s="12" t="s">
        <v>20</v>
      </c>
      <c r="C38" s="12" t="s">
        <v>23</v>
      </c>
      <c r="D38" s="12" t="s">
        <v>161</v>
      </c>
      <c r="E38" s="13">
        <v>1.59</v>
      </c>
      <c r="F38" s="12">
        <v>76</v>
      </c>
      <c r="G38" s="12" t="s">
        <v>26</v>
      </c>
      <c r="H38" s="12" t="s">
        <v>24</v>
      </c>
      <c r="I38" s="12">
        <v>0</v>
      </c>
      <c r="J38" s="12" t="s">
        <v>28</v>
      </c>
      <c r="K38" s="12" t="s">
        <v>27</v>
      </c>
      <c r="L38" s="12" t="s">
        <v>162</v>
      </c>
      <c r="M38" s="12" t="s">
        <v>163</v>
      </c>
      <c r="N38" s="15">
        <v>43653</v>
      </c>
      <c r="O38" s="15">
        <v>43473</v>
      </c>
      <c r="P38" s="12" t="s">
        <v>31</v>
      </c>
      <c r="Q38" s="12" t="s">
        <v>32</v>
      </c>
      <c r="R38" s="12" t="s">
        <v>36</v>
      </c>
      <c r="S38" s="12" t="s">
        <v>38</v>
      </c>
      <c r="T38" s="14" t="s">
        <v>27</v>
      </c>
      <c r="U38" s="12">
        <v>30.062101973814325</v>
      </c>
      <c r="V38" s="14" t="s">
        <v>77</v>
      </c>
    </row>
    <row r="39" spans="1:22" x14ac:dyDescent="0.25">
      <c r="A39" s="11">
        <v>38</v>
      </c>
      <c r="B39" s="12" t="s">
        <v>20</v>
      </c>
      <c r="C39" s="12" t="s">
        <v>23</v>
      </c>
      <c r="D39" s="12" t="s">
        <v>164</v>
      </c>
      <c r="E39" s="13">
        <v>1.78</v>
      </c>
      <c r="F39" s="12">
        <v>90</v>
      </c>
      <c r="G39" s="12" t="s">
        <v>25</v>
      </c>
      <c r="H39" s="12" t="s">
        <v>24</v>
      </c>
      <c r="I39" s="12">
        <v>40</v>
      </c>
      <c r="J39" s="12" t="s">
        <v>28</v>
      </c>
      <c r="K39" s="12" t="s">
        <v>27</v>
      </c>
      <c r="L39" s="12" t="s">
        <v>55</v>
      </c>
      <c r="M39" s="12" t="s">
        <v>127</v>
      </c>
      <c r="N39" s="12" t="s">
        <v>165</v>
      </c>
      <c r="O39" s="15">
        <v>43473</v>
      </c>
      <c r="P39" s="12" t="s">
        <v>29</v>
      </c>
      <c r="Q39" s="12" t="s">
        <v>33</v>
      </c>
      <c r="R39" s="12" t="s">
        <v>37</v>
      </c>
      <c r="S39" s="12" t="s">
        <v>38</v>
      </c>
      <c r="T39" s="14" t="s">
        <v>27</v>
      </c>
      <c r="U39" s="12">
        <v>28.405504355510669</v>
      </c>
      <c r="V39" s="14" t="s">
        <v>62</v>
      </c>
    </row>
    <row r="40" spans="1:22" x14ac:dyDescent="0.25">
      <c r="A40" s="11">
        <v>39</v>
      </c>
      <c r="B40" s="12" t="s">
        <v>21</v>
      </c>
      <c r="C40" s="12" t="s">
        <v>22</v>
      </c>
      <c r="D40" s="12" t="s">
        <v>166</v>
      </c>
      <c r="E40" s="13">
        <v>1.78</v>
      </c>
      <c r="F40" s="12">
        <v>96</v>
      </c>
      <c r="G40" s="12" t="s">
        <v>54</v>
      </c>
      <c r="H40" s="12" t="s">
        <v>24</v>
      </c>
      <c r="I40" s="12">
        <v>46</v>
      </c>
      <c r="J40" s="12" t="s">
        <v>28</v>
      </c>
      <c r="K40" s="12" t="s">
        <v>27</v>
      </c>
      <c r="L40" s="12" t="s">
        <v>155</v>
      </c>
      <c r="M40" s="12" t="s">
        <v>167</v>
      </c>
      <c r="N40" s="12" t="s">
        <v>168</v>
      </c>
      <c r="O40" s="12" t="s">
        <v>169</v>
      </c>
      <c r="P40" s="12" t="s">
        <v>31</v>
      </c>
      <c r="Q40" s="12" t="s">
        <v>32</v>
      </c>
      <c r="R40" s="12" t="s">
        <v>36</v>
      </c>
      <c r="S40" s="12" t="s">
        <v>41</v>
      </c>
      <c r="T40" s="14" t="s">
        <v>44</v>
      </c>
      <c r="U40" s="12">
        <v>30.299204645878046</v>
      </c>
      <c r="V40" s="14" t="s">
        <v>77</v>
      </c>
    </row>
    <row r="41" spans="1:22" x14ac:dyDescent="0.25">
      <c r="A41" s="11">
        <v>40</v>
      </c>
      <c r="B41" s="12" t="s">
        <v>21</v>
      </c>
      <c r="C41" s="12" t="s">
        <v>22</v>
      </c>
      <c r="D41" s="12" t="s">
        <v>170</v>
      </c>
      <c r="E41" s="13">
        <v>1.78</v>
      </c>
      <c r="F41" s="12">
        <v>87</v>
      </c>
      <c r="G41" s="12" t="s">
        <v>54</v>
      </c>
      <c r="H41" s="12" t="s">
        <v>24</v>
      </c>
      <c r="I41" s="12">
        <v>0</v>
      </c>
      <c r="J41" s="12" t="s">
        <v>28</v>
      </c>
      <c r="K41" s="12" t="s">
        <v>27</v>
      </c>
      <c r="L41" s="12" t="s">
        <v>155</v>
      </c>
      <c r="M41" s="12" t="s">
        <v>167</v>
      </c>
      <c r="N41" s="12" t="s">
        <v>171</v>
      </c>
      <c r="O41" s="12" t="s">
        <v>172</v>
      </c>
      <c r="P41" s="12" t="s">
        <v>31</v>
      </c>
      <c r="Q41" s="12" t="s">
        <v>32</v>
      </c>
      <c r="R41" s="12" t="s">
        <v>34</v>
      </c>
      <c r="S41" s="12" t="s">
        <v>42</v>
      </c>
      <c r="T41" s="14" t="s">
        <v>27</v>
      </c>
      <c r="U41" s="12">
        <v>27.458654210326976</v>
      </c>
      <c r="V41" s="14" t="s">
        <v>62</v>
      </c>
    </row>
    <row r="42" spans="1:22" x14ac:dyDescent="0.25">
      <c r="A42" s="11">
        <v>41</v>
      </c>
      <c r="B42" s="12" t="s">
        <v>21</v>
      </c>
      <c r="C42" s="12" t="s">
        <v>23</v>
      </c>
      <c r="D42" s="12" t="s">
        <v>173</v>
      </c>
      <c r="E42" s="13">
        <v>1.78</v>
      </c>
      <c r="F42" s="12">
        <v>62</v>
      </c>
      <c r="G42" s="12" t="s">
        <v>25</v>
      </c>
      <c r="H42" s="12" t="s">
        <v>24</v>
      </c>
      <c r="I42" s="12">
        <v>65</v>
      </c>
      <c r="J42" s="12" t="s">
        <v>28</v>
      </c>
      <c r="K42" s="12" t="s">
        <v>27</v>
      </c>
      <c r="L42" s="12" t="s">
        <v>174</v>
      </c>
      <c r="M42" s="12" t="s">
        <v>163</v>
      </c>
      <c r="N42" s="12" t="s">
        <v>175</v>
      </c>
      <c r="O42" s="12" t="s">
        <v>176</v>
      </c>
      <c r="P42" s="12" t="s">
        <v>31</v>
      </c>
      <c r="Q42" s="12" t="s">
        <v>32</v>
      </c>
      <c r="R42" s="12" t="s">
        <v>35</v>
      </c>
      <c r="S42" s="12" t="s">
        <v>40</v>
      </c>
      <c r="T42" s="14" t="s">
        <v>45</v>
      </c>
      <c r="U42" s="12">
        <v>19.568236333796236</v>
      </c>
      <c r="V42" s="14" t="s">
        <v>59</v>
      </c>
    </row>
    <row r="43" spans="1:22" x14ac:dyDescent="0.25">
      <c r="A43" s="11">
        <v>42</v>
      </c>
      <c r="B43" s="12" t="s">
        <v>21</v>
      </c>
      <c r="C43" s="12" t="s">
        <v>23</v>
      </c>
      <c r="D43" s="12" t="s">
        <v>177</v>
      </c>
      <c r="E43" s="13">
        <v>1.79</v>
      </c>
      <c r="F43" s="12">
        <v>68</v>
      </c>
      <c r="G43" s="12" t="s">
        <v>25</v>
      </c>
      <c r="H43" s="12" t="s">
        <v>24</v>
      </c>
      <c r="I43" s="12">
        <v>5</v>
      </c>
      <c r="J43" s="12" t="s">
        <v>28</v>
      </c>
      <c r="K43" s="12" t="s">
        <v>27</v>
      </c>
      <c r="L43" s="12" t="s">
        <v>178</v>
      </c>
      <c r="M43" s="12" t="s">
        <v>179</v>
      </c>
      <c r="N43" s="15">
        <v>43477</v>
      </c>
      <c r="O43" s="12" t="s">
        <v>180</v>
      </c>
      <c r="P43" s="12" t="s">
        <v>31</v>
      </c>
      <c r="Q43" s="12" t="s">
        <v>33</v>
      </c>
      <c r="R43" s="12" t="s">
        <v>34</v>
      </c>
      <c r="S43" s="12" t="s">
        <v>38</v>
      </c>
      <c r="T43" s="14" t="s">
        <v>44</v>
      </c>
      <c r="U43" s="12">
        <v>21.222808276895229</v>
      </c>
      <c r="V43" s="14" t="s">
        <v>59</v>
      </c>
    </row>
    <row r="44" spans="1:22" x14ac:dyDescent="0.25">
      <c r="A44" s="11">
        <v>43</v>
      </c>
      <c r="B44" s="12" t="s">
        <v>21</v>
      </c>
      <c r="C44" s="12" t="s">
        <v>23</v>
      </c>
      <c r="D44" s="12" t="s">
        <v>181</v>
      </c>
      <c r="E44" s="13">
        <v>1.96</v>
      </c>
      <c r="F44" s="12">
        <v>65</v>
      </c>
      <c r="G44" s="12" t="s">
        <v>25</v>
      </c>
      <c r="H44" s="12" t="s">
        <v>24</v>
      </c>
      <c r="I44" s="12">
        <v>15</v>
      </c>
      <c r="J44" s="12" t="s">
        <v>28</v>
      </c>
      <c r="K44" s="12" t="s">
        <v>27</v>
      </c>
      <c r="L44" s="12" t="s">
        <v>71</v>
      </c>
      <c r="M44" s="12" t="s">
        <v>127</v>
      </c>
      <c r="N44" s="15">
        <v>43477</v>
      </c>
      <c r="O44" s="15">
        <v>43508</v>
      </c>
      <c r="P44" s="12" t="s">
        <v>29</v>
      </c>
      <c r="Q44" s="12" t="s">
        <v>33</v>
      </c>
      <c r="R44" s="12" t="s">
        <v>37</v>
      </c>
      <c r="S44" s="12" t="s">
        <v>38</v>
      </c>
      <c r="T44" s="14" t="s">
        <v>27</v>
      </c>
      <c r="U44" s="12">
        <v>16.92003331945023</v>
      </c>
      <c r="V44" s="14" t="s">
        <v>82</v>
      </c>
    </row>
    <row r="45" spans="1:22" x14ac:dyDescent="0.25">
      <c r="A45" s="11">
        <v>44</v>
      </c>
      <c r="B45" s="12" t="s">
        <v>21</v>
      </c>
      <c r="C45" s="12" t="s">
        <v>23</v>
      </c>
      <c r="D45" s="12" t="s">
        <v>182</v>
      </c>
      <c r="E45" s="13">
        <v>1.61</v>
      </c>
      <c r="F45" s="12">
        <v>65</v>
      </c>
      <c r="G45" s="12" t="s">
        <v>25</v>
      </c>
      <c r="H45" s="12" t="s">
        <v>24</v>
      </c>
      <c r="I45" s="12">
        <v>13</v>
      </c>
      <c r="J45" s="12" t="s">
        <v>27</v>
      </c>
      <c r="K45" s="12" t="s">
        <v>27</v>
      </c>
      <c r="L45" s="12" t="s">
        <v>71</v>
      </c>
      <c r="M45" s="12" t="s">
        <v>183</v>
      </c>
      <c r="N45" s="15">
        <v>43498</v>
      </c>
      <c r="O45" s="15">
        <v>43679</v>
      </c>
      <c r="P45" s="12" t="s">
        <v>30</v>
      </c>
      <c r="Q45" s="12" t="s">
        <v>33</v>
      </c>
      <c r="R45" s="12" t="s">
        <v>34</v>
      </c>
      <c r="S45" s="12" t="s">
        <v>38</v>
      </c>
      <c r="T45" s="14" t="s">
        <v>27</v>
      </c>
      <c r="U45" s="12">
        <v>25.076193048107708</v>
      </c>
      <c r="V45" s="14" t="s">
        <v>62</v>
      </c>
    </row>
    <row r="46" spans="1:22" x14ac:dyDescent="0.25">
      <c r="A46" s="11">
        <v>45</v>
      </c>
      <c r="B46" s="12" t="s">
        <v>21</v>
      </c>
      <c r="C46" s="12" t="s">
        <v>23</v>
      </c>
      <c r="D46" s="15">
        <v>34824</v>
      </c>
      <c r="E46" s="13">
        <v>1.61</v>
      </c>
      <c r="F46" s="12">
        <v>76</v>
      </c>
      <c r="G46" s="12" t="s">
        <v>25</v>
      </c>
      <c r="H46" s="12" t="s">
        <v>24</v>
      </c>
      <c r="I46" s="12">
        <v>10</v>
      </c>
      <c r="J46" s="12" t="s">
        <v>27</v>
      </c>
      <c r="K46" s="12" t="s">
        <v>27</v>
      </c>
      <c r="L46" s="12" t="s">
        <v>84</v>
      </c>
      <c r="M46" s="12" t="s">
        <v>184</v>
      </c>
      <c r="N46" s="15">
        <v>43498</v>
      </c>
      <c r="O46" s="15">
        <v>43504</v>
      </c>
      <c r="P46" s="12" t="s">
        <v>30</v>
      </c>
      <c r="Q46" s="12" t="s">
        <v>33</v>
      </c>
      <c r="R46" s="12" t="s">
        <v>34</v>
      </c>
      <c r="S46" s="12" t="s">
        <v>38</v>
      </c>
      <c r="T46" s="14" t="s">
        <v>27</v>
      </c>
      <c r="U46" s="12">
        <v>29.319856487018246</v>
      </c>
      <c r="V46" s="14" t="s">
        <v>62</v>
      </c>
    </row>
    <row r="47" spans="1:22" x14ac:dyDescent="0.25">
      <c r="A47" s="11">
        <v>46</v>
      </c>
      <c r="B47" s="12" t="s">
        <v>20</v>
      </c>
      <c r="C47" s="12" t="s">
        <v>22</v>
      </c>
      <c r="D47" s="15">
        <v>34490</v>
      </c>
      <c r="E47" s="13">
        <v>1.71</v>
      </c>
      <c r="F47" s="12">
        <v>76</v>
      </c>
      <c r="G47" s="12" t="s">
        <v>54</v>
      </c>
      <c r="H47" s="12" t="s">
        <v>24</v>
      </c>
      <c r="I47" s="12">
        <v>10</v>
      </c>
      <c r="J47" s="12" t="s">
        <v>27</v>
      </c>
      <c r="K47" s="12" t="s">
        <v>27</v>
      </c>
      <c r="L47" s="12" t="s">
        <v>84</v>
      </c>
      <c r="M47" s="12" t="s">
        <v>184</v>
      </c>
      <c r="N47" s="15">
        <v>43526</v>
      </c>
      <c r="O47" s="15">
        <v>43679</v>
      </c>
      <c r="P47" s="12" t="s">
        <v>30</v>
      </c>
      <c r="Q47" s="12" t="s">
        <v>33</v>
      </c>
      <c r="R47" s="12" t="s">
        <v>34</v>
      </c>
      <c r="S47" s="12" t="s">
        <v>42</v>
      </c>
      <c r="T47" s="14" t="s">
        <v>27</v>
      </c>
      <c r="U47" s="12">
        <v>25.990903183885642</v>
      </c>
      <c r="V47" s="14" t="s">
        <v>62</v>
      </c>
    </row>
    <row r="48" spans="1:22" x14ac:dyDescent="0.25">
      <c r="A48" s="11">
        <v>47</v>
      </c>
      <c r="B48" s="12" t="s">
        <v>20</v>
      </c>
      <c r="C48" s="12" t="s">
        <v>22</v>
      </c>
      <c r="D48" s="15">
        <v>33090</v>
      </c>
      <c r="E48" s="13">
        <v>1.71</v>
      </c>
      <c r="F48" s="12">
        <v>86</v>
      </c>
      <c r="G48" s="12" t="s">
        <v>54</v>
      </c>
      <c r="H48" s="12" t="s">
        <v>25</v>
      </c>
      <c r="I48" s="12">
        <v>19</v>
      </c>
      <c r="J48" s="12" t="s">
        <v>28</v>
      </c>
      <c r="K48" s="12" t="s">
        <v>27</v>
      </c>
      <c r="L48" s="12" t="s">
        <v>84</v>
      </c>
      <c r="M48" s="12" t="s">
        <v>185</v>
      </c>
      <c r="N48" s="15">
        <v>43526</v>
      </c>
      <c r="O48" s="15">
        <v>43740</v>
      </c>
      <c r="P48" s="12" t="s">
        <v>31</v>
      </c>
      <c r="Q48" s="12" t="s">
        <v>32</v>
      </c>
      <c r="R48" s="12" t="s">
        <v>36</v>
      </c>
      <c r="S48" s="12" t="s">
        <v>42</v>
      </c>
      <c r="T48" s="14" t="s">
        <v>44</v>
      </c>
      <c r="U48" s="12">
        <v>29.410758865975858</v>
      </c>
      <c r="V48" s="14" t="s">
        <v>62</v>
      </c>
    </row>
    <row r="49" spans="1:22" x14ac:dyDescent="0.25">
      <c r="A49" s="11">
        <v>48</v>
      </c>
      <c r="B49" s="12" t="s">
        <v>21</v>
      </c>
      <c r="C49" s="12" t="s">
        <v>23</v>
      </c>
      <c r="D49" s="12" t="s">
        <v>186</v>
      </c>
      <c r="E49" s="13">
        <v>1.91</v>
      </c>
      <c r="F49" s="12">
        <v>80</v>
      </c>
      <c r="G49" s="12" t="s">
        <v>24</v>
      </c>
      <c r="H49" s="12" t="s">
        <v>24</v>
      </c>
      <c r="I49" s="12">
        <v>9</v>
      </c>
      <c r="J49" s="12" t="s">
        <v>28</v>
      </c>
      <c r="K49" s="12" t="s">
        <v>27</v>
      </c>
      <c r="L49" s="12" t="s">
        <v>101</v>
      </c>
      <c r="M49" s="12" t="s">
        <v>185</v>
      </c>
      <c r="N49" s="15">
        <v>43536</v>
      </c>
      <c r="O49" s="15">
        <v>43750</v>
      </c>
      <c r="P49" s="12" t="s">
        <v>31</v>
      </c>
      <c r="Q49" s="12" t="s">
        <v>33</v>
      </c>
      <c r="R49" s="12" t="s">
        <v>36</v>
      </c>
      <c r="S49" s="12" t="s">
        <v>38</v>
      </c>
      <c r="T49" s="14" t="s">
        <v>44</v>
      </c>
      <c r="U49" s="12">
        <v>21.929223431375238</v>
      </c>
      <c r="V49" s="14" t="s">
        <v>59</v>
      </c>
    </row>
    <row r="50" spans="1:22" x14ac:dyDescent="0.25">
      <c r="A50" s="11">
        <v>49</v>
      </c>
      <c r="B50" s="12" t="s">
        <v>21</v>
      </c>
      <c r="C50" s="12" t="s">
        <v>22</v>
      </c>
      <c r="D50" s="12" t="s">
        <v>187</v>
      </c>
      <c r="E50" s="13">
        <v>1.91</v>
      </c>
      <c r="F50" s="12">
        <v>87</v>
      </c>
      <c r="G50" s="12" t="s">
        <v>54</v>
      </c>
      <c r="H50" s="12" t="s">
        <v>24</v>
      </c>
      <c r="I50" s="12">
        <v>0</v>
      </c>
      <c r="J50" s="12" t="s">
        <v>28</v>
      </c>
      <c r="K50" s="12" t="s">
        <v>27</v>
      </c>
      <c r="L50" s="12" t="s">
        <v>188</v>
      </c>
      <c r="M50" s="12" t="s">
        <v>80</v>
      </c>
      <c r="N50" s="15">
        <v>43536</v>
      </c>
      <c r="O50" s="12" t="s">
        <v>93</v>
      </c>
      <c r="P50" s="12" t="s">
        <v>31</v>
      </c>
      <c r="Q50" s="12" t="s">
        <v>32</v>
      </c>
      <c r="R50" s="12" t="s">
        <v>36</v>
      </c>
      <c r="S50" s="12" t="s">
        <v>43</v>
      </c>
      <c r="T50" s="14" t="s">
        <v>45</v>
      </c>
      <c r="U50" s="12">
        <v>23.848030481620569</v>
      </c>
      <c r="V50" s="14" t="s">
        <v>59</v>
      </c>
    </row>
    <row r="51" spans="1:22" x14ac:dyDescent="0.25">
      <c r="A51" s="11">
        <v>50</v>
      </c>
      <c r="B51" s="12" t="s">
        <v>20</v>
      </c>
      <c r="C51" s="12" t="s">
        <v>23</v>
      </c>
      <c r="D51" s="12" t="s">
        <v>189</v>
      </c>
      <c r="E51" s="13">
        <v>1.67</v>
      </c>
      <c r="F51" s="12">
        <v>87</v>
      </c>
      <c r="G51" s="12" t="s">
        <v>24</v>
      </c>
      <c r="H51" s="12" t="s">
        <v>24</v>
      </c>
      <c r="I51" s="12">
        <v>30</v>
      </c>
      <c r="J51" s="12" t="s">
        <v>28</v>
      </c>
      <c r="K51" s="12" t="s">
        <v>27</v>
      </c>
      <c r="L51" s="12" t="s">
        <v>132</v>
      </c>
      <c r="M51" s="12" t="s">
        <v>89</v>
      </c>
      <c r="N51" s="15">
        <v>43536</v>
      </c>
      <c r="O51" s="12" t="s">
        <v>93</v>
      </c>
      <c r="P51" s="12" t="s">
        <v>29</v>
      </c>
      <c r="Q51" s="12" t="s">
        <v>33</v>
      </c>
      <c r="R51" s="12" t="s">
        <v>37</v>
      </c>
      <c r="S51" s="12" t="s">
        <v>38</v>
      </c>
      <c r="T51" s="14" t="s">
        <v>44</v>
      </c>
      <c r="U51" s="12">
        <v>31.1950948402596</v>
      </c>
      <c r="V51" s="14" t="s">
        <v>77</v>
      </c>
    </row>
    <row r="52" spans="1:22" x14ac:dyDescent="0.25">
      <c r="A52" s="11">
        <v>51</v>
      </c>
      <c r="B52" s="12" t="s">
        <v>20</v>
      </c>
      <c r="C52" s="12" t="s">
        <v>23</v>
      </c>
      <c r="D52" s="12" t="s">
        <v>190</v>
      </c>
      <c r="E52" s="13">
        <v>1.2</v>
      </c>
      <c r="F52" s="12">
        <v>20</v>
      </c>
      <c r="G52" s="12" t="s">
        <v>25</v>
      </c>
      <c r="H52" s="12" t="s">
        <v>24</v>
      </c>
      <c r="I52" s="12">
        <v>20</v>
      </c>
      <c r="J52" s="12" t="s">
        <v>28</v>
      </c>
      <c r="K52" s="12" t="s">
        <v>27</v>
      </c>
      <c r="L52" s="12" t="s">
        <v>66</v>
      </c>
      <c r="M52" s="12" t="s">
        <v>163</v>
      </c>
      <c r="N52" s="12" t="s">
        <v>144</v>
      </c>
      <c r="O52" s="12" t="s">
        <v>191</v>
      </c>
      <c r="P52" s="12" t="s">
        <v>29</v>
      </c>
      <c r="Q52" s="12" t="s">
        <v>33</v>
      </c>
      <c r="R52" s="12" t="s">
        <v>36</v>
      </c>
      <c r="S52" s="12" t="s">
        <v>38</v>
      </c>
      <c r="T52" s="14" t="s">
        <v>27</v>
      </c>
      <c r="U52" s="12">
        <v>13.888888888888889</v>
      </c>
      <c r="V52" s="14" t="s">
        <v>94</v>
      </c>
    </row>
    <row r="53" spans="1:22" x14ac:dyDescent="0.25">
      <c r="A53" s="11">
        <v>52</v>
      </c>
      <c r="B53" s="12" t="s">
        <v>20</v>
      </c>
      <c r="C53" s="12" t="s">
        <v>23</v>
      </c>
      <c r="D53" s="12" t="s">
        <v>192</v>
      </c>
      <c r="E53" s="13">
        <v>1.45</v>
      </c>
      <c r="F53" s="12">
        <v>42</v>
      </c>
      <c r="G53" s="12" t="s">
        <v>25</v>
      </c>
      <c r="H53" s="12" t="s">
        <v>25</v>
      </c>
      <c r="I53" s="12">
        <v>22</v>
      </c>
      <c r="J53" s="12" t="s">
        <v>28</v>
      </c>
      <c r="K53" s="12" t="s">
        <v>27</v>
      </c>
      <c r="L53" s="12" t="s">
        <v>66</v>
      </c>
      <c r="M53" s="12" t="s">
        <v>163</v>
      </c>
      <c r="N53" s="12" t="s">
        <v>193</v>
      </c>
      <c r="O53" s="12" t="s">
        <v>194</v>
      </c>
      <c r="P53" s="12" t="s">
        <v>31</v>
      </c>
      <c r="Q53" s="12" t="s">
        <v>32</v>
      </c>
      <c r="R53" s="12" t="s">
        <v>35</v>
      </c>
      <c r="S53" s="12" t="s">
        <v>38</v>
      </c>
      <c r="T53" s="14" t="s">
        <v>27</v>
      </c>
      <c r="U53" s="12">
        <v>19.976218787158146</v>
      </c>
      <c r="V53" s="14" t="s">
        <v>59</v>
      </c>
    </row>
    <row r="54" spans="1:22" x14ac:dyDescent="0.25">
      <c r="A54" s="11">
        <v>53</v>
      </c>
      <c r="B54" s="12" t="s">
        <v>20</v>
      </c>
      <c r="C54" s="12" t="s">
        <v>23</v>
      </c>
      <c r="D54" s="12" t="s">
        <v>195</v>
      </c>
      <c r="E54" s="13">
        <v>1.45</v>
      </c>
      <c r="F54" s="12">
        <v>68</v>
      </c>
      <c r="G54" s="12" t="s">
        <v>25</v>
      </c>
      <c r="H54" s="12" t="s">
        <v>24</v>
      </c>
      <c r="I54" s="12">
        <v>20</v>
      </c>
      <c r="J54" s="12" t="s">
        <v>28</v>
      </c>
      <c r="K54" s="12" t="s">
        <v>27</v>
      </c>
      <c r="L54" s="12" t="s">
        <v>66</v>
      </c>
      <c r="M54" s="12" t="s">
        <v>145</v>
      </c>
      <c r="N54" s="12" t="s">
        <v>196</v>
      </c>
      <c r="O54" s="12" t="s">
        <v>197</v>
      </c>
      <c r="P54" s="12" t="s">
        <v>31</v>
      </c>
      <c r="Q54" s="12" t="s">
        <v>32</v>
      </c>
      <c r="R54" s="12" t="s">
        <v>36</v>
      </c>
      <c r="S54" s="12" t="s">
        <v>38</v>
      </c>
      <c r="T54" s="14" t="s">
        <v>27</v>
      </c>
      <c r="U54" s="12">
        <v>32.342449464922709</v>
      </c>
      <c r="V54" s="14" t="s">
        <v>77</v>
      </c>
    </row>
    <row r="55" spans="1:22" x14ac:dyDescent="0.25">
      <c r="A55" s="11">
        <v>54</v>
      </c>
      <c r="B55" s="12" t="s">
        <v>21</v>
      </c>
      <c r="C55" s="12" t="s">
        <v>22</v>
      </c>
      <c r="D55" s="12" t="s">
        <v>198</v>
      </c>
      <c r="E55" s="13">
        <v>1.72</v>
      </c>
      <c r="F55" s="12">
        <v>104</v>
      </c>
      <c r="G55" s="12" t="s">
        <v>54</v>
      </c>
      <c r="H55" s="12" t="s">
        <v>24</v>
      </c>
      <c r="I55" s="12">
        <v>0</v>
      </c>
      <c r="J55" s="12" t="s">
        <v>28</v>
      </c>
      <c r="K55" s="12" t="s">
        <v>27</v>
      </c>
      <c r="L55" s="12" t="s">
        <v>199</v>
      </c>
      <c r="M55" s="12" t="s">
        <v>200</v>
      </c>
      <c r="N55" s="12" t="s">
        <v>201</v>
      </c>
      <c r="O55" s="15">
        <v>43498</v>
      </c>
      <c r="P55" s="12" t="s">
        <v>29</v>
      </c>
      <c r="Q55" s="12" t="s">
        <v>33</v>
      </c>
      <c r="R55" s="12" t="s">
        <v>37</v>
      </c>
      <c r="S55" s="12" t="s">
        <v>38</v>
      </c>
      <c r="T55" s="14" t="s">
        <v>27</v>
      </c>
      <c r="U55" s="12">
        <v>35.154137371552196</v>
      </c>
      <c r="V55" s="14" t="s">
        <v>105</v>
      </c>
    </row>
    <row r="56" spans="1:22" x14ac:dyDescent="0.25">
      <c r="A56" s="11">
        <v>55</v>
      </c>
      <c r="B56" s="12" t="s">
        <v>21</v>
      </c>
      <c r="C56" s="12" t="s">
        <v>22</v>
      </c>
      <c r="D56" s="12" t="s">
        <v>202</v>
      </c>
      <c r="E56" s="13">
        <v>1.92</v>
      </c>
      <c r="F56" s="12">
        <v>110</v>
      </c>
      <c r="G56" s="12" t="s">
        <v>54</v>
      </c>
      <c r="H56" s="12" t="s">
        <v>25</v>
      </c>
      <c r="I56" s="12">
        <v>30</v>
      </c>
      <c r="J56" s="12" t="s">
        <v>28</v>
      </c>
      <c r="K56" s="12" t="s">
        <v>27</v>
      </c>
      <c r="L56" s="12" t="s">
        <v>55</v>
      </c>
      <c r="M56" s="12" t="s">
        <v>61</v>
      </c>
      <c r="N56" s="15">
        <v>43586</v>
      </c>
      <c r="O56" s="15">
        <v>43800</v>
      </c>
      <c r="P56" s="12" t="s">
        <v>30</v>
      </c>
      <c r="Q56" s="12" t="s">
        <v>33</v>
      </c>
      <c r="R56" s="12" t="s">
        <v>37</v>
      </c>
      <c r="S56" s="12" t="s">
        <v>38</v>
      </c>
      <c r="T56" s="14" t="s">
        <v>44</v>
      </c>
      <c r="U56" s="12">
        <v>29.839409722222221</v>
      </c>
      <c r="V56" s="14" t="s">
        <v>62</v>
      </c>
    </row>
    <row r="57" spans="1:22" x14ac:dyDescent="0.25">
      <c r="A57" s="11">
        <v>56</v>
      </c>
      <c r="B57" s="12" t="s">
        <v>20</v>
      </c>
      <c r="C57" s="12" t="s">
        <v>23</v>
      </c>
      <c r="D57" s="12" t="s">
        <v>203</v>
      </c>
      <c r="E57" s="13">
        <v>1.92</v>
      </c>
      <c r="F57" s="12">
        <v>89</v>
      </c>
      <c r="G57" s="12" t="s">
        <v>26</v>
      </c>
      <c r="H57" s="12" t="s">
        <v>24</v>
      </c>
      <c r="I57" s="12">
        <v>25</v>
      </c>
      <c r="J57" s="12" t="s">
        <v>28</v>
      </c>
      <c r="K57" s="12" t="s">
        <v>27</v>
      </c>
      <c r="L57" s="12" t="s">
        <v>60</v>
      </c>
      <c r="M57" s="12" t="s">
        <v>158</v>
      </c>
      <c r="N57" s="12" t="s">
        <v>204</v>
      </c>
      <c r="O57" s="15">
        <v>43801</v>
      </c>
      <c r="P57" s="12" t="s">
        <v>31</v>
      </c>
      <c r="Q57" s="12" t="s">
        <v>32</v>
      </c>
      <c r="R57" s="12" t="s">
        <v>35</v>
      </c>
      <c r="S57" s="12" t="s">
        <v>38</v>
      </c>
      <c r="T57" s="14" t="s">
        <v>27</v>
      </c>
      <c r="U57" s="12">
        <v>24.142795138888889</v>
      </c>
      <c r="V57" s="14" t="s">
        <v>59</v>
      </c>
    </row>
    <row r="58" spans="1:22" x14ac:dyDescent="0.25">
      <c r="A58" s="11">
        <v>57</v>
      </c>
      <c r="B58" s="12" t="s">
        <v>21</v>
      </c>
      <c r="C58" s="12" t="s">
        <v>22</v>
      </c>
      <c r="D58" s="12" t="s">
        <v>205</v>
      </c>
      <c r="E58" s="13">
        <v>1.62</v>
      </c>
      <c r="F58" s="12">
        <v>93</v>
      </c>
      <c r="G58" s="12" t="s">
        <v>54</v>
      </c>
      <c r="H58" s="12" t="s">
        <v>24</v>
      </c>
      <c r="I58" s="12">
        <v>25</v>
      </c>
      <c r="J58" s="12" t="s">
        <v>28</v>
      </c>
      <c r="K58" s="12" t="s">
        <v>27</v>
      </c>
      <c r="L58" s="12" t="s">
        <v>60</v>
      </c>
      <c r="M58" s="12" t="s">
        <v>158</v>
      </c>
      <c r="N58" s="12" t="s">
        <v>206</v>
      </c>
      <c r="O58" s="12" t="s">
        <v>207</v>
      </c>
      <c r="P58" s="12" t="s">
        <v>31</v>
      </c>
      <c r="Q58" s="12" t="s">
        <v>32</v>
      </c>
      <c r="R58" s="12" t="s">
        <v>35</v>
      </c>
      <c r="S58" s="12" t="s">
        <v>38</v>
      </c>
      <c r="T58" s="14" t="s">
        <v>27</v>
      </c>
      <c r="U58" s="12">
        <v>35.436671239140367</v>
      </c>
      <c r="V58" s="14" t="s">
        <v>105</v>
      </c>
    </row>
    <row r="59" spans="1:22" x14ac:dyDescent="0.25">
      <c r="A59" s="11">
        <v>58</v>
      </c>
      <c r="B59" s="12" t="s">
        <v>21</v>
      </c>
      <c r="C59" s="12" t="s">
        <v>22</v>
      </c>
      <c r="D59" s="12" t="s">
        <v>208</v>
      </c>
      <c r="E59" s="13">
        <v>1.62</v>
      </c>
      <c r="F59" s="12">
        <v>93</v>
      </c>
      <c r="G59" s="12" t="s">
        <v>54</v>
      </c>
      <c r="H59" s="12" t="s">
        <v>24</v>
      </c>
      <c r="I59" s="12">
        <v>25</v>
      </c>
      <c r="J59" s="12" t="s">
        <v>28</v>
      </c>
      <c r="K59" s="12" t="s">
        <v>27</v>
      </c>
      <c r="L59" s="12" t="s">
        <v>60</v>
      </c>
      <c r="M59" s="12" t="s">
        <v>209</v>
      </c>
      <c r="N59" s="12" t="s">
        <v>210</v>
      </c>
      <c r="O59" s="12" t="s">
        <v>211</v>
      </c>
      <c r="P59" s="12" t="s">
        <v>31</v>
      </c>
      <c r="Q59" s="12" t="s">
        <v>32</v>
      </c>
      <c r="R59" s="12" t="s">
        <v>35</v>
      </c>
      <c r="S59" s="12" t="s">
        <v>40</v>
      </c>
      <c r="T59" s="14" t="s">
        <v>27</v>
      </c>
      <c r="U59" s="12">
        <v>35.436671239140367</v>
      </c>
      <c r="V59" s="14" t="s">
        <v>105</v>
      </c>
    </row>
    <row r="60" spans="1:22" x14ac:dyDescent="0.25">
      <c r="A60" s="11">
        <v>59</v>
      </c>
      <c r="B60" s="12" t="s">
        <v>20</v>
      </c>
      <c r="C60" s="12" t="s">
        <v>22</v>
      </c>
      <c r="D60" s="12" t="s">
        <v>212</v>
      </c>
      <c r="E60" s="13">
        <v>1.62</v>
      </c>
      <c r="F60" s="12">
        <v>65</v>
      </c>
      <c r="G60" s="12" t="s">
        <v>54</v>
      </c>
      <c r="H60" s="12" t="s">
        <v>24</v>
      </c>
      <c r="I60" s="12">
        <v>0</v>
      </c>
      <c r="J60" s="12" t="s">
        <v>28</v>
      </c>
      <c r="K60" s="12" t="s">
        <v>27</v>
      </c>
      <c r="L60" s="12" t="s">
        <v>60</v>
      </c>
      <c r="M60" s="12" t="s">
        <v>209</v>
      </c>
      <c r="N60" s="15">
        <v>43468</v>
      </c>
      <c r="O60" s="15">
        <v>43469</v>
      </c>
      <c r="P60" s="12" t="s">
        <v>31</v>
      </c>
      <c r="Q60" s="12" t="s">
        <v>32</v>
      </c>
      <c r="R60" s="12" t="s">
        <v>35</v>
      </c>
      <c r="S60" s="12" t="s">
        <v>40</v>
      </c>
      <c r="T60" s="14" t="s">
        <v>27</v>
      </c>
      <c r="U60" s="12">
        <v>24.767565919829291</v>
      </c>
      <c r="V60" s="14" t="s">
        <v>59</v>
      </c>
    </row>
    <row r="61" spans="1:22" x14ac:dyDescent="0.25">
      <c r="A61" s="11">
        <v>60</v>
      </c>
      <c r="B61" s="12" t="s">
        <v>21</v>
      </c>
      <c r="C61" s="12" t="s">
        <v>23</v>
      </c>
      <c r="D61" s="12" t="s">
        <v>212</v>
      </c>
      <c r="E61" s="13">
        <v>1.62</v>
      </c>
      <c r="F61" s="12">
        <v>65</v>
      </c>
      <c r="G61" s="12" t="s">
        <v>24</v>
      </c>
      <c r="H61" s="12" t="s">
        <v>24</v>
      </c>
      <c r="I61" s="12">
        <v>0</v>
      </c>
      <c r="J61" s="12" t="s">
        <v>28</v>
      </c>
      <c r="K61" s="12" t="s">
        <v>27</v>
      </c>
      <c r="L61" s="12" t="s">
        <v>60</v>
      </c>
      <c r="M61" s="12" t="s">
        <v>209</v>
      </c>
      <c r="N61" s="15">
        <v>43468</v>
      </c>
      <c r="O61" s="15">
        <v>43469</v>
      </c>
      <c r="P61" s="12" t="s">
        <v>31</v>
      </c>
      <c r="Q61" s="12" t="s">
        <v>32</v>
      </c>
      <c r="R61" s="12" t="s">
        <v>35</v>
      </c>
      <c r="S61" s="12" t="s">
        <v>40</v>
      </c>
      <c r="T61" s="14" t="s">
        <v>27</v>
      </c>
      <c r="U61" s="12">
        <v>24.767565919829291</v>
      </c>
      <c r="V61" s="14" t="s">
        <v>59</v>
      </c>
    </row>
    <row r="62" spans="1:22" x14ac:dyDescent="0.25">
      <c r="A62" s="11">
        <v>61</v>
      </c>
      <c r="B62" s="12" t="s">
        <v>20</v>
      </c>
      <c r="C62" s="12" t="s">
        <v>22</v>
      </c>
      <c r="D62" s="15">
        <v>37231</v>
      </c>
      <c r="E62" s="13">
        <v>1.87</v>
      </c>
      <c r="F62" s="12">
        <v>71</v>
      </c>
      <c r="G62" s="12" t="s">
        <v>54</v>
      </c>
      <c r="H62" s="12" t="s">
        <v>24</v>
      </c>
      <c r="I62" s="12">
        <v>0</v>
      </c>
      <c r="J62" s="12" t="s">
        <v>28</v>
      </c>
      <c r="K62" s="12" t="s">
        <v>27</v>
      </c>
      <c r="L62" s="12" t="s">
        <v>98</v>
      </c>
      <c r="M62" s="12" t="s">
        <v>145</v>
      </c>
      <c r="N62" s="12" t="s">
        <v>213</v>
      </c>
      <c r="O62" s="12" t="s">
        <v>68</v>
      </c>
      <c r="P62" s="12" t="s">
        <v>30</v>
      </c>
      <c r="Q62" s="12" t="s">
        <v>33</v>
      </c>
      <c r="R62" s="12" t="s">
        <v>34</v>
      </c>
      <c r="S62" s="12" t="s">
        <v>38</v>
      </c>
      <c r="T62" s="14" t="s">
        <v>27</v>
      </c>
      <c r="U62" s="12">
        <v>20.303697560696612</v>
      </c>
      <c r="V62" s="14" t="s">
        <v>59</v>
      </c>
    </row>
    <row r="63" spans="1:22" x14ac:dyDescent="0.25">
      <c r="A63" s="11">
        <v>62</v>
      </c>
      <c r="B63" s="12" t="s">
        <v>20</v>
      </c>
      <c r="C63" s="12" t="s">
        <v>22</v>
      </c>
      <c r="D63" s="15">
        <v>37234</v>
      </c>
      <c r="E63" s="13">
        <v>1.87</v>
      </c>
      <c r="F63" s="12">
        <v>91</v>
      </c>
      <c r="G63" s="12" t="s">
        <v>54</v>
      </c>
      <c r="H63" s="12" t="s">
        <v>25</v>
      </c>
      <c r="I63" s="12">
        <v>20</v>
      </c>
      <c r="J63" s="12" t="s">
        <v>28</v>
      </c>
      <c r="K63" s="12" t="s">
        <v>27</v>
      </c>
      <c r="L63" s="12" t="s">
        <v>98</v>
      </c>
      <c r="M63" s="12" t="s">
        <v>145</v>
      </c>
      <c r="N63" s="12" t="s">
        <v>213</v>
      </c>
      <c r="O63" s="12" t="s">
        <v>68</v>
      </c>
      <c r="P63" s="12" t="s">
        <v>30</v>
      </c>
      <c r="Q63" s="12" t="s">
        <v>33</v>
      </c>
      <c r="R63" s="12" t="s">
        <v>34</v>
      </c>
      <c r="S63" s="12" t="s">
        <v>38</v>
      </c>
      <c r="T63" s="14" t="s">
        <v>27</v>
      </c>
      <c r="U63" s="12">
        <v>26.023048986244955</v>
      </c>
      <c r="V63" s="14" t="s">
        <v>62</v>
      </c>
    </row>
    <row r="64" spans="1:22" x14ac:dyDescent="0.25">
      <c r="A64" s="11">
        <v>63</v>
      </c>
      <c r="B64" s="12" t="s">
        <v>20</v>
      </c>
      <c r="C64" s="12" t="s">
        <v>22</v>
      </c>
      <c r="D64" s="15">
        <v>36138</v>
      </c>
      <c r="E64" s="13">
        <v>1.87</v>
      </c>
      <c r="F64" s="12">
        <v>91</v>
      </c>
      <c r="G64" s="12" t="s">
        <v>54</v>
      </c>
      <c r="H64" s="12" t="s">
        <v>25</v>
      </c>
      <c r="I64" s="12">
        <v>20</v>
      </c>
      <c r="J64" s="12" t="s">
        <v>28</v>
      </c>
      <c r="K64" s="12" t="s">
        <v>27</v>
      </c>
      <c r="L64" s="12" t="s">
        <v>98</v>
      </c>
      <c r="M64" s="12" t="s">
        <v>145</v>
      </c>
      <c r="N64" s="12" t="s">
        <v>213</v>
      </c>
      <c r="O64" s="12" t="s">
        <v>68</v>
      </c>
      <c r="P64" s="12" t="s">
        <v>30</v>
      </c>
      <c r="Q64" s="12" t="s">
        <v>33</v>
      </c>
      <c r="R64" s="12" t="s">
        <v>34</v>
      </c>
      <c r="S64" s="12" t="s">
        <v>38</v>
      </c>
      <c r="T64" s="14" t="s">
        <v>44</v>
      </c>
      <c r="U64" s="12">
        <v>26.023048986244955</v>
      </c>
      <c r="V64" s="14" t="s">
        <v>62</v>
      </c>
    </row>
    <row r="65" spans="1:22" x14ac:dyDescent="0.25">
      <c r="A65" s="11">
        <v>64</v>
      </c>
      <c r="B65" s="12" t="s">
        <v>20</v>
      </c>
      <c r="C65" s="12" t="s">
        <v>22</v>
      </c>
      <c r="D65" s="15">
        <v>36138</v>
      </c>
      <c r="E65" s="13">
        <v>1.87</v>
      </c>
      <c r="F65" s="12">
        <v>91</v>
      </c>
      <c r="G65" s="12" t="s">
        <v>54</v>
      </c>
      <c r="H65" s="12" t="s">
        <v>25</v>
      </c>
      <c r="I65" s="12">
        <v>20</v>
      </c>
      <c r="J65" s="12" t="s">
        <v>28</v>
      </c>
      <c r="K65" s="12" t="s">
        <v>27</v>
      </c>
      <c r="L65" s="12" t="s">
        <v>214</v>
      </c>
      <c r="M65" s="12" t="s">
        <v>163</v>
      </c>
      <c r="N65" s="12" t="s">
        <v>213</v>
      </c>
      <c r="O65" s="12" t="s">
        <v>68</v>
      </c>
      <c r="P65" s="12" t="s">
        <v>30</v>
      </c>
      <c r="Q65" s="12" t="s">
        <v>33</v>
      </c>
      <c r="R65" s="12" t="s">
        <v>34</v>
      </c>
      <c r="S65" s="12" t="s">
        <v>38</v>
      </c>
      <c r="T65" s="14" t="s">
        <v>44</v>
      </c>
      <c r="U65" s="12">
        <v>26.023048986244955</v>
      </c>
      <c r="V65" s="14" t="s">
        <v>62</v>
      </c>
    </row>
    <row r="66" spans="1:22" x14ac:dyDescent="0.25">
      <c r="A66" s="11">
        <v>65</v>
      </c>
      <c r="B66" s="12" t="s">
        <v>20</v>
      </c>
      <c r="C66" s="12" t="s">
        <v>23</v>
      </c>
      <c r="D66" s="15">
        <v>36148</v>
      </c>
      <c r="E66" s="13">
        <v>1.87</v>
      </c>
      <c r="F66" s="12">
        <v>91</v>
      </c>
      <c r="G66" s="12" t="s">
        <v>25</v>
      </c>
      <c r="H66" s="12" t="s">
        <v>25</v>
      </c>
      <c r="I66" s="12">
        <v>20</v>
      </c>
      <c r="J66" s="12" t="s">
        <v>28</v>
      </c>
      <c r="K66" s="12" t="s">
        <v>27</v>
      </c>
      <c r="L66" s="12" t="s">
        <v>214</v>
      </c>
      <c r="M66" s="12" t="s">
        <v>163</v>
      </c>
      <c r="N66" s="12" t="s">
        <v>213</v>
      </c>
      <c r="O66" s="12" t="s">
        <v>68</v>
      </c>
      <c r="P66" s="12" t="s">
        <v>30</v>
      </c>
      <c r="Q66" s="12" t="s">
        <v>33</v>
      </c>
      <c r="R66" s="12" t="s">
        <v>34</v>
      </c>
      <c r="S66" s="12" t="s">
        <v>38</v>
      </c>
      <c r="T66" s="14" t="s">
        <v>45</v>
      </c>
      <c r="U66" s="12">
        <v>26.023048986244955</v>
      </c>
      <c r="V66" s="14" t="s">
        <v>62</v>
      </c>
    </row>
    <row r="67" spans="1:22" x14ac:dyDescent="0.25">
      <c r="A67" s="11">
        <v>66</v>
      </c>
      <c r="B67" s="12" t="s">
        <v>20</v>
      </c>
      <c r="C67" s="12" t="s">
        <v>23</v>
      </c>
      <c r="D67" s="12" t="s">
        <v>215</v>
      </c>
      <c r="E67" s="13">
        <v>1.87</v>
      </c>
      <c r="F67" s="12">
        <v>91</v>
      </c>
      <c r="G67" s="12" t="s">
        <v>25</v>
      </c>
      <c r="H67" s="12" t="s">
        <v>25</v>
      </c>
      <c r="I67" s="12">
        <v>20</v>
      </c>
      <c r="J67" s="12" t="s">
        <v>28</v>
      </c>
      <c r="K67" s="12" t="s">
        <v>27</v>
      </c>
      <c r="L67" s="12" t="s">
        <v>214</v>
      </c>
      <c r="M67" s="12" t="s">
        <v>163</v>
      </c>
      <c r="N67" s="12" t="s">
        <v>213</v>
      </c>
      <c r="O67" s="12" t="s">
        <v>68</v>
      </c>
      <c r="P67" s="12" t="s">
        <v>30</v>
      </c>
      <c r="Q67" s="12" t="s">
        <v>32</v>
      </c>
      <c r="R67" s="12" t="s">
        <v>34</v>
      </c>
      <c r="S67" s="12" t="s">
        <v>43</v>
      </c>
      <c r="T67" s="14" t="s">
        <v>45</v>
      </c>
      <c r="U67" s="12">
        <v>26.023048986244955</v>
      </c>
      <c r="V67" s="14" t="s">
        <v>62</v>
      </c>
    </row>
    <row r="68" spans="1:22" x14ac:dyDescent="0.25">
      <c r="A68" s="11">
        <v>67</v>
      </c>
      <c r="B68" s="12" t="s">
        <v>21</v>
      </c>
      <c r="C68" s="12" t="s">
        <v>23</v>
      </c>
      <c r="D68" s="12" t="s">
        <v>215</v>
      </c>
      <c r="E68" s="13">
        <v>1.87</v>
      </c>
      <c r="F68" s="12">
        <v>91</v>
      </c>
      <c r="G68" s="12" t="s">
        <v>25</v>
      </c>
      <c r="H68" s="12" t="s">
        <v>25</v>
      </c>
      <c r="I68" s="12">
        <v>20</v>
      </c>
      <c r="J68" s="12" t="s">
        <v>28</v>
      </c>
      <c r="K68" s="12" t="s">
        <v>27</v>
      </c>
      <c r="L68" s="12" t="s">
        <v>216</v>
      </c>
      <c r="M68" s="12" t="s">
        <v>179</v>
      </c>
      <c r="N68" s="12" t="s">
        <v>213</v>
      </c>
      <c r="O68" s="12" t="s">
        <v>68</v>
      </c>
      <c r="P68" s="12" t="s">
        <v>30</v>
      </c>
      <c r="Q68" s="12" t="s">
        <v>32</v>
      </c>
      <c r="R68" s="12" t="s">
        <v>34</v>
      </c>
      <c r="S68" s="12" t="s">
        <v>43</v>
      </c>
      <c r="T68" s="14" t="s">
        <v>45</v>
      </c>
      <c r="U68" s="12">
        <v>26.023048986244955</v>
      </c>
      <c r="V68" s="14" t="s">
        <v>62</v>
      </c>
    </row>
    <row r="69" spans="1:22" x14ac:dyDescent="0.25">
      <c r="A69" s="11">
        <v>68</v>
      </c>
      <c r="B69" s="12" t="s">
        <v>21</v>
      </c>
      <c r="C69" s="12" t="s">
        <v>23</v>
      </c>
      <c r="D69" s="12" t="s">
        <v>215</v>
      </c>
      <c r="E69" s="13">
        <v>1.87</v>
      </c>
      <c r="F69" s="12">
        <v>91</v>
      </c>
      <c r="G69" s="12" t="s">
        <v>25</v>
      </c>
      <c r="H69" s="12" t="s">
        <v>25</v>
      </c>
      <c r="I69" s="12">
        <v>20</v>
      </c>
      <c r="J69" s="12" t="s">
        <v>28</v>
      </c>
      <c r="K69" s="12" t="s">
        <v>27</v>
      </c>
      <c r="L69" s="12" t="s">
        <v>217</v>
      </c>
      <c r="M69" s="12" t="s">
        <v>179</v>
      </c>
      <c r="N69" s="12" t="s">
        <v>213</v>
      </c>
      <c r="O69" s="12" t="s">
        <v>68</v>
      </c>
      <c r="P69" s="12" t="s">
        <v>30</v>
      </c>
      <c r="Q69" s="12" t="s">
        <v>32</v>
      </c>
      <c r="R69" s="12" t="s">
        <v>34</v>
      </c>
      <c r="S69" s="12" t="s">
        <v>43</v>
      </c>
      <c r="T69" s="14" t="s">
        <v>45</v>
      </c>
      <c r="U69" s="12">
        <v>26.023048986244955</v>
      </c>
      <c r="V69" s="14" t="s">
        <v>62</v>
      </c>
    </row>
    <row r="70" spans="1:22" x14ac:dyDescent="0.25">
      <c r="A70" s="11">
        <v>69</v>
      </c>
      <c r="B70" s="12" t="s">
        <v>21</v>
      </c>
      <c r="C70" s="12" t="s">
        <v>23</v>
      </c>
      <c r="D70" s="12" t="s">
        <v>215</v>
      </c>
      <c r="E70" s="13">
        <v>1.87</v>
      </c>
      <c r="F70" s="12">
        <v>91</v>
      </c>
      <c r="G70" s="12" t="s">
        <v>25</v>
      </c>
      <c r="H70" s="12" t="s">
        <v>24</v>
      </c>
      <c r="I70" s="12">
        <v>20</v>
      </c>
      <c r="J70" s="12" t="s">
        <v>28</v>
      </c>
      <c r="K70" s="12" t="s">
        <v>27</v>
      </c>
      <c r="L70" s="12" t="s">
        <v>141</v>
      </c>
      <c r="M70" s="12" t="s">
        <v>179</v>
      </c>
      <c r="N70" s="12" t="s">
        <v>218</v>
      </c>
      <c r="O70" s="12" t="s">
        <v>76</v>
      </c>
      <c r="P70" s="12" t="s">
        <v>30</v>
      </c>
      <c r="Q70" s="12" t="s">
        <v>32</v>
      </c>
      <c r="R70" s="12" t="s">
        <v>35</v>
      </c>
      <c r="S70" s="12" t="s">
        <v>40</v>
      </c>
      <c r="T70" s="14" t="s">
        <v>45</v>
      </c>
      <c r="U70" s="12">
        <v>26.023048986244955</v>
      </c>
      <c r="V70" s="14" t="s">
        <v>62</v>
      </c>
    </row>
    <row r="71" spans="1:22" x14ac:dyDescent="0.25">
      <c r="A71" s="11">
        <v>70</v>
      </c>
      <c r="B71" s="12" t="s">
        <v>21</v>
      </c>
      <c r="C71" s="12" t="s">
        <v>23</v>
      </c>
      <c r="D71" s="12" t="s">
        <v>219</v>
      </c>
      <c r="E71" s="13">
        <v>1.87</v>
      </c>
      <c r="F71" s="12">
        <v>61</v>
      </c>
      <c r="G71" s="12" t="s">
        <v>25</v>
      </c>
      <c r="H71" s="12" t="s">
        <v>24</v>
      </c>
      <c r="I71" s="12">
        <v>20</v>
      </c>
      <c r="J71" s="12" t="s">
        <v>28</v>
      </c>
      <c r="K71" s="12" t="s">
        <v>27</v>
      </c>
      <c r="L71" s="12" t="s">
        <v>141</v>
      </c>
      <c r="M71" s="12" t="s">
        <v>179</v>
      </c>
      <c r="N71" s="12" t="s">
        <v>218</v>
      </c>
      <c r="O71" s="12" t="s">
        <v>76</v>
      </c>
      <c r="P71" s="12" t="s">
        <v>30</v>
      </c>
      <c r="Q71" s="12" t="s">
        <v>32</v>
      </c>
      <c r="R71" s="12" t="s">
        <v>35</v>
      </c>
      <c r="S71" s="12" t="s">
        <v>43</v>
      </c>
      <c r="T71" s="14" t="s">
        <v>45</v>
      </c>
      <c r="U71" s="12">
        <v>17.444021847922443</v>
      </c>
      <c r="V71" s="14" t="s">
        <v>82</v>
      </c>
    </row>
    <row r="72" spans="1:22" x14ac:dyDescent="0.25">
      <c r="A72" s="11">
        <v>71</v>
      </c>
      <c r="B72" s="12" t="s">
        <v>21</v>
      </c>
      <c r="C72" s="12" t="s">
        <v>23</v>
      </c>
      <c r="D72" s="12" t="s">
        <v>219</v>
      </c>
      <c r="E72" s="13">
        <v>1.87</v>
      </c>
      <c r="F72" s="12">
        <v>61</v>
      </c>
      <c r="G72" s="12" t="s">
        <v>25</v>
      </c>
      <c r="H72" s="12" t="s">
        <v>24</v>
      </c>
      <c r="I72" s="12">
        <v>20</v>
      </c>
      <c r="J72" s="12" t="s">
        <v>28</v>
      </c>
      <c r="K72" s="12" t="s">
        <v>27</v>
      </c>
      <c r="L72" s="12" t="s">
        <v>141</v>
      </c>
      <c r="M72" s="12" t="s">
        <v>179</v>
      </c>
      <c r="N72" s="12" t="s">
        <v>218</v>
      </c>
      <c r="O72" s="12" t="s">
        <v>76</v>
      </c>
      <c r="P72" s="12" t="s">
        <v>30</v>
      </c>
      <c r="Q72" s="12" t="s">
        <v>32</v>
      </c>
      <c r="R72" s="12" t="s">
        <v>35</v>
      </c>
      <c r="S72" s="12" t="s">
        <v>43</v>
      </c>
      <c r="T72" s="14" t="s">
        <v>45</v>
      </c>
      <c r="U72" s="12">
        <v>17.444021847922443</v>
      </c>
      <c r="V72" s="14" t="s">
        <v>82</v>
      </c>
    </row>
    <row r="73" spans="1:22" x14ac:dyDescent="0.25">
      <c r="A73" s="11">
        <v>72</v>
      </c>
      <c r="B73" s="12" t="s">
        <v>21</v>
      </c>
      <c r="C73" s="12" t="s">
        <v>23</v>
      </c>
      <c r="D73" s="12" t="s">
        <v>221</v>
      </c>
      <c r="E73" s="13">
        <v>1.87</v>
      </c>
      <c r="F73" s="12">
        <v>61</v>
      </c>
      <c r="G73" s="12" t="s">
        <v>24</v>
      </c>
      <c r="H73" s="12" t="s">
        <v>24</v>
      </c>
      <c r="I73" s="12">
        <v>20</v>
      </c>
      <c r="J73" s="12" t="s">
        <v>28</v>
      </c>
      <c r="K73" s="12" t="s">
        <v>27</v>
      </c>
      <c r="L73" s="12" t="s">
        <v>141</v>
      </c>
      <c r="M73" s="12" t="s">
        <v>222</v>
      </c>
      <c r="N73" s="12" t="s">
        <v>218</v>
      </c>
      <c r="O73" s="12" t="s">
        <v>76</v>
      </c>
      <c r="P73" s="12" t="s">
        <v>30</v>
      </c>
      <c r="Q73" s="12" t="s">
        <v>32</v>
      </c>
      <c r="R73" s="12" t="s">
        <v>34</v>
      </c>
      <c r="S73" s="12" t="s">
        <v>43</v>
      </c>
      <c r="T73" s="14" t="s">
        <v>44</v>
      </c>
      <c r="U73" s="12">
        <v>17.444021847922443</v>
      </c>
      <c r="V73" s="14" t="s">
        <v>82</v>
      </c>
    </row>
    <row r="74" spans="1:22" x14ac:dyDescent="0.25">
      <c r="A74" s="11">
        <v>73</v>
      </c>
      <c r="B74" s="12" t="s">
        <v>21</v>
      </c>
      <c r="C74" s="12" t="s">
        <v>23</v>
      </c>
      <c r="D74" s="12" t="s">
        <v>221</v>
      </c>
      <c r="E74" s="13">
        <v>1.95</v>
      </c>
      <c r="F74" s="12">
        <v>61</v>
      </c>
      <c r="G74" s="12" t="s">
        <v>24</v>
      </c>
      <c r="H74" s="12" t="s">
        <v>24</v>
      </c>
      <c r="I74" s="12">
        <v>26</v>
      </c>
      <c r="J74" s="12" t="s">
        <v>27</v>
      </c>
      <c r="K74" s="12" t="s">
        <v>27</v>
      </c>
      <c r="L74" s="12" t="s">
        <v>223</v>
      </c>
      <c r="M74" s="12" t="s">
        <v>222</v>
      </c>
      <c r="N74" s="12" t="s">
        <v>218</v>
      </c>
      <c r="O74" s="12" t="s">
        <v>196</v>
      </c>
      <c r="P74" s="12" t="s">
        <v>30</v>
      </c>
      <c r="Q74" s="12" t="s">
        <v>32</v>
      </c>
      <c r="R74" s="12" t="s">
        <v>34</v>
      </c>
      <c r="S74" s="12" t="s">
        <v>43</v>
      </c>
      <c r="T74" s="14" t="s">
        <v>44</v>
      </c>
      <c r="U74" s="12">
        <v>16.042077580539122</v>
      </c>
      <c r="V74" s="14" t="s">
        <v>94</v>
      </c>
    </row>
    <row r="75" spans="1:22" x14ac:dyDescent="0.25">
      <c r="A75" s="11">
        <v>74</v>
      </c>
      <c r="B75" s="12" t="s">
        <v>20</v>
      </c>
      <c r="C75" s="12" t="s">
        <v>22</v>
      </c>
      <c r="D75" s="12" t="s">
        <v>224</v>
      </c>
      <c r="E75" s="13">
        <v>1.95</v>
      </c>
      <c r="F75" s="12">
        <v>87</v>
      </c>
      <c r="G75" s="12" t="s">
        <v>54</v>
      </c>
      <c r="H75" s="12" t="s">
        <v>24</v>
      </c>
      <c r="I75" s="12">
        <v>26</v>
      </c>
      <c r="J75" s="12" t="s">
        <v>28</v>
      </c>
      <c r="K75" s="12" t="s">
        <v>27</v>
      </c>
      <c r="L75" s="12" t="s">
        <v>223</v>
      </c>
      <c r="M75" s="12" t="s">
        <v>222</v>
      </c>
      <c r="N75" s="12" t="s">
        <v>225</v>
      </c>
      <c r="O75" s="12" t="s">
        <v>226</v>
      </c>
      <c r="P75" s="12" t="s">
        <v>30</v>
      </c>
      <c r="Q75" s="12" t="s">
        <v>33</v>
      </c>
      <c r="R75" s="12" t="s">
        <v>34</v>
      </c>
      <c r="S75" s="12" t="s">
        <v>39</v>
      </c>
      <c r="T75" s="14" t="s">
        <v>44</v>
      </c>
      <c r="U75" s="12">
        <v>22.87968441814596</v>
      </c>
      <c r="V75" s="14" t="s">
        <v>59</v>
      </c>
    </row>
    <row r="76" spans="1:22" x14ac:dyDescent="0.25">
      <c r="A76" s="11">
        <v>75</v>
      </c>
      <c r="B76" s="12" t="s">
        <v>20</v>
      </c>
      <c r="C76" s="12" t="s">
        <v>23</v>
      </c>
      <c r="D76" s="12" t="s">
        <v>227</v>
      </c>
      <c r="E76" s="13">
        <v>1.95</v>
      </c>
      <c r="F76" s="12">
        <v>87</v>
      </c>
      <c r="G76" s="12" t="s">
        <v>25</v>
      </c>
      <c r="H76" s="12" t="s">
        <v>24</v>
      </c>
      <c r="I76" s="12">
        <v>26</v>
      </c>
      <c r="J76" s="12" t="s">
        <v>28</v>
      </c>
      <c r="K76" s="12" t="s">
        <v>27</v>
      </c>
      <c r="L76" s="12" t="s">
        <v>223</v>
      </c>
      <c r="M76" s="12" t="s">
        <v>222</v>
      </c>
      <c r="N76" s="12" t="s">
        <v>225</v>
      </c>
      <c r="O76" s="12" t="s">
        <v>226</v>
      </c>
      <c r="P76" s="12" t="s">
        <v>30</v>
      </c>
      <c r="Q76" s="12" t="s">
        <v>33</v>
      </c>
      <c r="R76" s="12" t="s">
        <v>34</v>
      </c>
      <c r="S76" s="12" t="s">
        <v>39</v>
      </c>
      <c r="T76" s="14" t="s">
        <v>44</v>
      </c>
      <c r="U76" s="12">
        <v>22.87968441814596</v>
      </c>
      <c r="V76" s="14" t="s">
        <v>59</v>
      </c>
    </row>
    <row r="77" spans="1:22" x14ac:dyDescent="0.25">
      <c r="A77" s="11">
        <v>76</v>
      </c>
      <c r="B77" s="12" t="s">
        <v>20</v>
      </c>
      <c r="C77" s="12" t="s">
        <v>23</v>
      </c>
      <c r="D77" s="12" t="s">
        <v>228</v>
      </c>
      <c r="E77" s="13">
        <v>1.95</v>
      </c>
      <c r="F77" s="12">
        <v>87</v>
      </c>
      <c r="G77" s="12" t="s">
        <v>25</v>
      </c>
      <c r="H77" s="12" t="s">
        <v>24</v>
      </c>
      <c r="I77" s="12">
        <v>26</v>
      </c>
      <c r="J77" s="12" t="s">
        <v>28</v>
      </c>
      <c r="K77" s="12" t="s">
        <v>27</v>
      </c>
      <c r="L77" s="12" t="s">
        <v>155</v>
      </c>
      <c r="M77" s="12" t="s">
        <v>179</v>
      </c>
      <c r="N77" s="12" t="s">
        <v>225</v>
      </c>
      <c r="O77" s="12" t="s">
        <v>226</v>
      </c>
      <c r="P77" s="12" t="s">
        <v>31</v>
      </c>
      <c r="Q77" s="12" t="s">
        <v>33</v>
      </c>
      <c r="R77" s="12" t="s">
        <v>35</v>
      </c>
      <c r="S77" s="12" t="s">
        <v>40</v>
      </c>
      <c r="T77" s="14" t="s">
        <v>45</v>
      </c>
      <c r="U77" s="12">
        <v>22.87968441814596</v>
      </c>
      <c r="V77" s="14" t="s">
        <v>59</v>
      </c>
    </row>
    <row r="78" spans="1:22" x14ac:dyDescent="0.25">
      <c r="A78" s="11">
        <v>77</v>
      </c>
      <c r="B78" s="12" t="s">
        <v>20</v>
      </c>
      <c r="C78" s="12" t="s">
        <v>23</v>
      </c>
      <c r="D78" s="12" t="s">
        <v>228</v>
      </c>
      <c r="E78" s="13">
        <v>1.56</v>
      </c>
      <c r="F78" s="12">
        <v>87</v>
      </c>
      <c r="G78" s="12" t="s">
        <v>25</v>
      </c>
      <c r="H78" s="12" t="s">
        <v>24</v>
      </c>
      <c r="I78" s="12">
        <v>0</v>
      </c>
      <c r="J78" s="12" t="s">
        <v>28</v>
      </c>
      <c r="K78" s="12" t="s">
        <v>27</v>
      </c>
      <c r="L78" s="12" t="s">
        <v>256</v>
      </c>
      <c r="M78" s="12" t="s">
        <v>179</v>
      </c>
      <c r="N78" s="12" t="s">
        <v>229</v>
      </c>
      <c r="O78" s="12" t="s">
        <v>76</v>
      </c>
      <c r="P78" s="12" t="s">
        <v>29</v>
      </c>
      <c r="Q78" s="12" t="s">
        <v>33</v>
      </c>
      <c r="R78" s="12" t="s">
        <v>34</v>
      </c>
      <c r="S78" s="12" t="s">
        <v>38</v>
      </c>
      <c r="T78" s="14" t="s">
        <v>44</v>
      </c>
      <c r="U78" s="12">
        <v>35.749506903353051</v>
      </c>
      <c r="V78" s="14" t="s">
        <v>105</v>
      </c>
    </row>
    <row r="79" spans="1:22" x14ac:dyDescent="0.25">
      <c r="A79" s="11">
        <v>78</v>
      </c>
      <c r="B79" s="12" t="s">
        <v>20</v>
      </c>
      <c r="C79" s="12" t="s">
        <v>23</v>
      </c>
      <c r="D79" s="12" t="s">
        <v>228</v>
      </c>
      <c r="E79" s="13">
        <v>1.56</v>
      </c>
      <c r="F79" s="12">
        <v>80</v>
      </c>
      <c r="G79" s="12" t="s">
        <v>24</v>
      </c>
      <c r="H79" s="12" t="s">
        <v>24</v>
      </c>
      <c r="I79" s="12">
        <v>0</v>
      </c>
      <c r="J79" s="12" t="s">
        <v>28</v>
      </c>
      <c r="K79" s="12" t="s">
        <v>27</v>
      </c>
      <c r="L79" s="12" t="s">
        <v>256</v>
      </c>
      <c r="M79" s="12" t="s">
        <v>147</v>
      </c>
      <c r="N79" s="12" t="s">
        <v>229</v>
      </c>
      <c r="O79" s="12" t="s">
        <v>76</v>
      </c>
      <c r="P79" s="12" t="s">
        <v>29</v>
      </c>
      <c r="Q79" s="12" t="s">
        <v>33</v>
      </c>
      <c r="R79" s="12" t="s">
        <v>34</v>
      </c>
      <c r="S79" s="12" t="s">
        <v>38</v>
      </c>
      <c r="T79" s="14" t="s">
        <v>27</v>
      </c>
      <c r="U79" s="12">
        <v>32.873109796186718</v>
      </c>
      <c r="V79" s="14" t="s">
        <v>77</v>
      </c>
    </row>
    <row r="80" spans="1:22" x14ac:dyDescent="0.25">
      <c r="A80" s="11">
        <v>79</v>
      </c>
      <c r="B80" s="12" t="s">
        <v>21</v>
      </c>
      <c r="C80" s="12" t="s">
        <v>23</v>
      </c>
      <c r="D80" s="12" t="s">
        <v>228</v>
      </c>
      <c r="E80" s="13">
        <v>1.56</v>
      </c>
      <c r="F80" s="12">
        <v>80</v>
      </c>
      <c r="G80" s="12" t="s">
        <v>25</v>
      </c>
      <c r="H80" s="12" t="s">
        <v>24</v>
      </c>
      <c r="I80" s="12">
        <v>30</v>
      </c>
      <c r="J80" s="12" t="s">
        <v>28</v>
      </c>
      <c r="K80" s="12" t="s">
        <v>27</v>
      </c>
      <c r="L80" s="12" t="s">
        <v>132</v>
      </c>
      <c r="M80" s="12" t="s">
        <v>163</v>
      </c>
      <c r="N80" s="15">
        <v>43477</v>
      </c>
      <c r="O80" s="15">
        <v>43628</v>
      </c>
      <c r="P80" s="12" t="s">
        <v>29</v>
      </c>
      <c r="Q80" s="12" t="s">
        <v>33</v>
      </c>
      <c r="R80" s="12" t="s">
        <v>34</v>
      </c>
      <c r="S80" s="12" t="s">
        <v>38</v>
      </c>
      <c r="T80" s="14" t="s">
        <v>27</v>
      </c>
      <c r="U80" s="12">
        <v>32.873109796186718</v>
      </c>
      <c r="V80" s="14" t="s">
        <v>77</v>
      </c>
    </row>
    <row r="81" spans="1:22" x14ac:dyDescent="0.25">
      <c r="A81" s="11">
        <v>80</v>
      </c>
      <c r="B81" s="12" t="s">
        <v>20</v>
      </c>
      <c r="C81" s="12" t="s">
        <v>22</v>
      </c>
      <c r="D81" s="12" t="s">
        <v>228</v>
      </c>
      <c r="E81" s="13">
        <v>1.56</v>
      </c>
      <c r="F81" s="12">
        <v>80</v>
      </c>
      <c r="G81" s="12" t="s">
        <v>54</v>
      </c>
      <c r="H81" s="12" t="s">
        <v>25</v>
      </c>
      <c r="I81" s="12">
        <v>30</v>
      </c>
      <c r="J81" s="12" t="s">
        <v>28</v>
      </c>
      <c r="K81" s="12" t="s">
        <v>27</v>
      </c>
      <c r="L81" s="12" t="s">
        <v>55</v>
      </c>
      <c r="M81" s="12" t="s">
        <v>61</v>
      </c>
      <c r="N81" s="15">
        <v>43477</v>
      </c>
      <c r="O81" s="15">
        <v>43628</v>
      </c>
      <c r="P81" s="12" t="s">
        <v>30</v>
      </c>
      <c r="Q81" s="12" t="s">
        <v>33</v>
      </c>
      <c r="R81" s="12" t="s">
        <v>36</v>
      </c>
      <c r="S81" s="12" t="s">
        <v>39</v>
      </c>
      <c r="T81" s="14" t="s">
        <v>45</v>
      </c>
      <c r="U81" s="12">
        <v>32.873109796186718</v>
      </c>
      <c r="V81" s="14" t="s">
        <v>77</v>
      </c>
    </row>
    <row r="82" spans="1:22" x14ac:dyDescent="0.25">
      <c r="A82" s="11">
        <v>81</v>
      </c>
      <c r="B82" s="12" t="s">
        <v>20</v>
      </c>
      <c r="C82" s="12" t="s">
        <v>22</v>
      </c>
      <c r="D82" s="12" t="s">
        <v>230</v>
      </c>
      <c r="E82" s="13">
        <v>1.56</v>
      </c>
      <c r="F82" s="12">
        <v>56</v>
      </c>
      <c r="G82" s="12" t="s">
        <v>54</v>
      </c>
      <c r="H82" s="12" t="s">
        <v>25</v>
      </c>
      <c r="I82" s="12">
        <v>33</v>
      </c>
      <c r="J82" s="12" t="s">
        <v>28</v>
      </c>
      <c r="K82" s="12" t="s">
        <v>27</v>
      </c>
      <c r="L82" s="12" t="s">
        <v>55</v>
      </c>
      <c r="M82" s="12" t="s">
        <v>61</v>
      </c>
      <c r="N82" s="15">
        <v>43477</v>
      </c>
      <c r="O82" s="15">
        <v>43628</v>
      </c>
      <c r="P82" s="12" t="s">
        <v>29</v>
      </c>
      <c r="Q82" s="12" t="s">
        <v>33</v>
      </c>
      <c r="R82" s="12" t="s">
        <v>36</v>
      </c>
      <c r="S82" s="12" t="s">
        <v>39</v>
      </c>
      <c r="T82" s="14" t="s">
        <v>45</v>
      </c>
      <c r="U82" s="12">
        <v>23.011176857330703</v>
      </c>
      <c r="V82" s="14" t="s">
        <v>59</v>
      </c>
    </row>
    <row r="83" spans="1:22" x14ac:dyDescent="0.25">
      <c r="A83" s="11">
        <v>82</v>
      </c>
      <c r="B83" s="12" t="s">
        <v>20</v>
      </c>
      <c r="C83" s="12" t="s">
        <v>22</v>
      </c>
      <c r="D83" s="12" t="s">
        <v>230</v>
      </c>
      <c r="E83" s="13">
        <v>1.76</v>
      </c>
      <c r="F83" s="12">
        <v>40</v>
      </c>
      <c r="G83" s="12" t="s">
        <v>54</v>
      </c>
      <c r="H83" s="12" t="s">
        <v>25</v>
      </c>
      <c r="I83" s="12">
        <v>33</v>
      </c>
      <c r="J83" s="12" t="s">
        <v>28</v>
      </c>
      <c r="K83" s="12" t="s">
        <v>27</v>
      </c>
      <c r="L83" s="12" t="s">
        <v>55</v>
      </c>
      <c r="M83" s="12" t="s">
        <v>61</v>
      </c>
      <c r="N83" s="15">
        <v>43477</v>
      </c>
      <c r="O83" s="15">
        <v>43628</v>
      </c>
      <c r="P83" s="12" t="s">
        <v>31</v>
      </c>
      <c r="Q83" s="12" t="s">
        <v>33</v>
      </c>
      <c r="R83" s="12" t="s">
        <v>36</v>
      </c>
      <c r="S83" s="12" t="s">
        <v>41</v>
      </c>
      <c r="T83" s="14" t="s">
        <v>45</v>
      </c>
      <c r="U83" s="12">
        <v>12.913223140495868</v>
      </c>
      <c r="V83" s="14" t="s">
        <v>94</v>
      </c>
    </row>
    <row r="84" spans="1:22" x14ac:dyDescent="0.25">
      <c r="A84" s="11">
        <v>83</v>
      </c>
      <c r="B84" s="12" t="s">
        <v>20</v>
      </c>
      <c r="C84" s="12" t="s">
        <v>22</v>
      </c>
      <c r="D84" s="12" t="s">
        <v>230</v>
      </c>
      <c r="E84" s="13">
        <v>1.95</v>
      </c>
      <c r="F84" s="12">
        <v>51</v>
      </c>
      <c r="G84" s="12" t="s">
        <v>54</v>
      </c>
      <c r="H84" s="12" t="s">
        <v>25</v>
      </c>
      <c r="I84" s="12">
        <v>3</v>
      </c>
      <c r="J84" s="12" t="s">
        <v>28</v>
      </c>
      <c r="K84" s="12" t="s">
        <v>27</v>
      </c>
      <c r="L84" s="12" t="s">
        <v>141</v>
      </c>
      <c r="M84" s="12" t="s">
        <v>61</v>
      </c>
      <c r="N84" s="15">
        <v>43112</v>
      </c>
      <c r="O84" s="15">
        <v>43263</v>
      </c>
      <c r="P84" s="12" t="s">
        <v>31</v>
      </c>
      <c r="Q84" s="12" t="s">
        <v>33</v>
      </c>
      <c r="R84" s="12" t="s">
        <v>36</v>
      </c>
      <c r="S84" s="12" t="s">
        <v>41</v>
      </c>
      <c r="T84" s="14" t="s">
        <v>45</v>
      </c>
      <c r="U84" s="12">
        <v>13.412228796844182</v>
      </c>
      <c r="V84" s="14" t="s">
        <v>94</v>
      </c>
    </row>
    <row r="85" spans="1:22" x14ac:dyDescent="0.25">
      <c r="A85" s="11">
        <v>84</v>
      </c>
      <c r="B85" s="12" t="s">
        <v>21</v>
      </c>
      <c r="C85" s="12" t="s">
        <v>23</v>
      </c>
      <c r="D85" s="12" t="s">
        <v>230</v>
      </c>
      <c r="E85" s="13">
        <v>1.95</v>
      </c>
      <c r="F85" s="12">
        <v>51</v>
      </c>
      <c r="G85" s="12" t="s">
        <v>25</v>
      </c>
      <c r="H85" s="12" t="s">
        <v>24</v>
      </c>
      <c r="I85" s="12">
        <v>23</v>
      </c>
      <c r="J85" s="12" t="s">
        <v>28</v>
      </c>
      <c r="K85" s="12" t="s">
        <v>27</v>
      </c>
      <c r="L85" s="12" t="s">
        <v>141</v>
      </c>
      <c r="M85" s="12" t="s">
        <v>61</v>
      </c>
      <c r="N85" s="15">
        <v>43112</v>
      </c>
      <c r="O85" s="15">
        <v>43477</v>
      </c>
      <c r="P85" s="12" t="s">
        <v>30</v>
      </c>
      <c r="Q85" s="12" t="s">
        <v>33</v>
      </c>
      <c r="R85" s="12" t="s">
        <v>36</v>
      </c>
      <c r="S85" s="12" t="s">
        <v>41</v>
      </c>
      <c r="T85" s="14" t="s">
        <v>44</v>
      </c>
      <c r="U85" s="12">
        <v>13.412228796844182</v>
      </c>
      <c r="V85" s="14" t="s">
        <v>94</v>
      </c>
    </row>
    <row r="86" spans="1:22" x14ac:dyDescent="0.25">
      <c r="A86" s="11">
        <v>85</v>
      </c>
      <c r="B86" s="12" t="s">
        <v>20</v>
      </c>
      <c r="C86" s="12" t="s">
        <v>22</v>
      </c>
      <c r="D86" s="12" t="s">
        <v>231</v>
      </c>
      <c r="E86" s="13">
        <v>1.85</v>
      </c>
      <c r="F86" s="12">
        <v>71</v>
      </c>
      <c r="G86" s="12" t="s">
        <v>54</v>
      </c>
      <c r="H86" s="12" t="s">
        <v>24</v>
      </c>
      <c r="I86" s="12">
        <v>2</v>
      </c>
      <c r="J86" s="12" t="s">
        <v>28</v>
      </c>
      <c r="K86" s="12" t="s">
        <v>27</v>
      </c>
      <c r="L86" s="12" t="s">
        <v>91</v>
      </c>
      <c r="M86" s="12" t="s">
        <v>80</v>
      </c>
      <c r="N86" s="15">
        <v>43477</v>
      </c>
      <c r="O86" s="15">
        <v>43842</v>
      </c>
      <c r="P86" s="12" t="s">
        <v>30</v>
      </c>
      <c r="Q86" s="12" t="s">
        <v>33</v>
      </c>
      <c r="R86" s="12" t="s">
        <v>37</v>
      </c>
      <c r="S86" s="12" t="s">
        <v>38</v>
      </c>
      <c r="T86" s="14" t="s">
        <v>45</v>
      </c>
      <c r="U86" s="12">
        <v>20.74506939371804</v>
      </c>
      <c r="V86" s="14" t="s">
        <v>59</v>
      </c>
    </row>
    <row r="87" spans="1:22" x14ac:dyDescent="0.25">
      <c r="A87" s="11">
        <v>86</v>
      </c>
      <c r="B87" s="12" t="s">
        <v>21</v>
      </c>
      <c r="C87" s="12" t="s">
        <v>22</v>
      </c>
      <c r="D87" s="12" t="s">
        <v>232</v>
      </c>
      <c r="E87" s="13">
        <v>1.55</v>
      </c>
      <c r="F87" s="12">
        <v>71</v>
      </c>
      <c r="G87" s="12" t="s">
        <v>54</v>
      </c>
      <c r="H87" s="12" t="s">
        <v>24</v>
      </c>
      <c r="I87" s="12">
        <v>26</v>
      </c>
      <c r="J87" s="12" t="s">
        <v>27</v>
      </c>
      <c r="K87" s="12" t="s">
        <v>27</v>
      </c>
      <c r="L87" s="12" t="s">
        <v>91</v>
      </c>
      <c r="M87" s="12" t="s">
        <v>80</v>
      </c>
      <c r="N87" s="15">
        <v>43781</v>
      </c>
      <c r="O87" s="12" t="s">
        <v>233</v>
      </c>
      <c r="P87" s="12" t="s">
        <v>30</v>
      </c>
      <c r="Q87" s="12" t="s">
        <v>33</v>
      </c>
      <c r="R87" s="12" t="s">
        <v>37</v>
      </c>
      <c r="S87" s="12" t="s">
        <v>38</v>
      </c>
      <c r="T87" s="14" t="s">
        <v>45</v>
      </c>
      <c r="U87" s="12">
        <v>29.552549427679498</v>
      </c>
      <c r="V87" s="14" t="s">
        <v>62</v>
      </c>
    </row>
    <row r="88" spans="1:22" x14ac:dyDescent="0.25">
      <c r="A88" s="11">
        <v>87</v>
      </c>
      <c r="B88" s="12" t="s">
        <v>20</v>
      </c>
      <c r="C88" s="12" t="s">
        <v>23</v>
      </c>
      <c r="D88" s="12" t="s">
        <v>234</v>
      </c>
      <c r="E88" s="13">
        <v>1.55</v>
      </c>
      <c r="F88" s="12">
        <v>71</v>
      </c>
      <c r="G88" s="12" t="s">
        <v>25</v>
      </c>
      <c r="H88" s="12" t="s">
        <v>24</v>
      </c>
      <c r="I88" s="12">
        <v>6</v>
      </c>
      <c r="J88" s="12" t="s">
        <v>28</v>
      </c>
      <c r="K88" s="12" t="s">
        <v>27</v>
      </c>
      <c r="L88" s="12" t="s">
        <v>188</v>
      </c>
      <c r="M88" s="12" t="s">
        <v>235</v>
      </c>
      <c r="N88" s="15">
        <v>43781</v>
      </c>
      <c r="O88" s="12" t="s">
        <v>233</v>
      </c>
      <c r="P88" s="12" t="s">
        <v>30</v>
      </c>
      <c r="Q88" s="12" t="s">
        <v>33</v>
      </c>
      <c r="R88" s="12" t="s">
        <v>36</v>
      </c>
      <c r="S88" s="12" t="s">
        <v>38</v>
      </c>
      <c r="T88" s="14" t="s">
        <v>44</v>
      </c>
      <c r="U88" s="12">
        <v>29.552549427679498</v>
      </c>
      <c r="V88" s="14" t="s">
        <v>62</v>
      </c>
    </row>
    <row r="89" spans="1:22" x14ac:dyDescent="0.25">
      <c r="A89" s="11">
        <v>88</v>
      </c>
      <c r="B89" s="12" t="s">
        <v>20</v>
      </c>
      <c r="C89" s="12" t="s">
        <v>23</v>
      </c>
      <c r="D89" s="12" t="s">
        <v>219</v>
      </c>
      <c r="E89" s="17">
        <v>1.65</v>
      </c>
      <c r="F89" s="12">
        <v>71</v>
      </c>
      <c r="G89" s="12" t="s">
        <v>25</v>
      </c>
      <c r="H89" s="12" t="s">
        <v>24</v>
      </c>
      <c r="I89" s="12">
        <v>6</v>
      </c>
      <c r="J89" s="12" t="s">
        <v>28</v>
      </c>
      <c r="K89" s="12" t="s">
        <v>27</v>
      </c>
      <c r="L89" s="12" t="s">
        <v>60</v>
      </c>
      <c r="M89" s="12" t="s">
        <v>236</v>
      </c>
      <c r="N89" s="15">
        <v>43781</v>
      </c>
      <c r="O89" s="12" t="s">
        <v>237</v>
      </c>
      <c r="P89" s="12" t="s">
        <v>31</v>
      </c>
      <c r="Q89" s="12" t="s">
        <v>33</v>
      </c>
      <c r="R89" s="12" t="s">
        <v>35</v>
      </c>
      <c r="S89" s="12" t="s">
        <v>40</v>
      </c>
      <c r="T89" s="14" t="s">
        <v>44</v>
      </c>
      <c r="U89" s="12">
        <v>26.078971500000002</v>
      </c>
      <c r="V89" s="14" t="s">
        <v>94</v>
      </c>
    </row>
    <row r="90" spans="1:22" x14ac:dyDescent="0.25">
      <c r="A90" s="11">
        <v>89</v>
      </c>
      <c r="B90" s="12" t="s">
        <v>20</v>
      </c>
      <c r="C90" s="12" t="s">
        <v>22</v>
      </c>
      <c r="D90" s="12" t="s">
        <v>238</v>
      </c>
      <c r="E90" s="13">
        <v>1.65</v>
      </c>
      <c r="F90" s="12">
        <v>81</v>
      </c>
      <c r="G90" s="12" t="s">
        <v>54</v>
      </c>
      <c r="H90" s="12" t="s">
        <v>24</v>
      </c>
      <c r="I90" s="12">
        <v>16</v>
      </c>
      <c r="J90" s="12" t="s">
        <v>27</v>
      </c>
      <c r="K90" s="12" t="s">
        <v>27</v>
      </c>
      <c r="L90" s="12" t="s">
        <v>60</v>
      </c>
      <c r="M90" s="12" t="s">
        <v>109</v>
      </c>
      <c r="N90" s="15">
        <v>43781</v>
      </c>
      <c r="O90" s="12" t="s">
        <v>237</v>
      </c>
      <c r="P90" s="12" t="s">
        <v>29</v>
      </c>
      <c r="Q90" s="12" t="s">
        <v>33</v>
      </c>
      <c r="R90" s="12" t="s">
        <v>37</v>
      </c>
      <c r="S90" s="12" t="s">
        <v>38</v>
      </c>
      <c r="T90" s="14" t="s">
        <v>45</v>
      </c>
      <c r="U90" s="12">
        <v>29.752066115702483</v>
      </c>
      <c r="V90" s="14" t="s">
        <v>62</v>
      </c>
    </row>
    <row r="91" spans="1:22" x14ac:dyDescent="0.25">
      <c r="A91" s="11">
        <v>90</v>
      </c>
      <c r="B91" s="12" t="s">
        <v>21</v>
      </c>
      <c r="C91" s="12" t="s">
        <v>22</v>
      </c>
      <c r="D91" s="12" t="s">
        <v>239</v>
      </c>
      <c r="E91" s="13">
        <v>1.75</v>
      </c>
      <c r="F91" s="12">
        <v>91</v>
      </c>
      <c r="G91" s="12" t="s">
        <v>54</v>
      </c>
      <c r="H91" s="12" t="s">
        <v>24</v>
      </c>
      <c r="I91" s="12">
        <v>6</v>
      </c>
      <c r="J91" s="12" t="s">
        <v>27</v>
      </c>
      <c r="K91" s="12" t="s">
        <v>27</v>
      </c>
      <c r="L91" s="12" t="s">
        <v>60</v>
      </c>
      <c r="M91" s="12" t="s">
        <v>147</v>
      </c>
      <c r="N91" s="15">
        <v>43781</v>
      </c>
      <c r="O91" s="12" t="s">
        <v>237</v>
      </c>
      <c r="P91" s="12" t="s">
        <v>30</v>
      </c>
      <c r="Q91" s="12" t="s">
        <v>33</v>
      </c>
      <c r="R91" s="12" t="s">
        <v>37</v>
      </c>
      <c r="S91" s="12" t="s">
        <v>38</v>
      </c>
      <c r="T91" s="14" t="s">
        <v>27</v>
      </c>
      <c r="U91" s="12">
        <v>29.714285714285715</v>
      </c>
      <c r="V91" s="14" t="s">
        <v>62</v>
      </c>
    </row>
    <row r="92" spans="1:22" x14ac:dyDescent="0.25">
      <c r="A92" s="11">
        <v>91</v>
      </c>
      <c r="B92" s="12" t="s">
        <v>21</v>
      </c>
      <c r="C92" s="12" t="s">
        <v>22</v>
      </c>
      <c r="D92" s="12" t="s">
        <v>239</v>
      </c>
      <c r="E92" s="13">
        <v>1.6</v>
      </c>
      <c r="F92" s="12">
        <v>91</v>
      </c>
      <c r="G92" s="12" t="s">
        <v>54</v>
      </c>
      <c r="H92" s="12" t="s">
        <v>24</v>
      </c>
      <c r="I92" s="12">
        <v>0</v>
      </c>
      <c r="J92" s="12" t="s">
        <v>28</v>
      </c>
      <c r="K92" s="12" t="s">
        <v>27</v>
      </c>
      <c r="L92" s="12" t="s">
        <v>108</v>
      </c>
      <c r="M92" s="12" t="s">
        <v>240</v>
      </c>
      <c r="N92" s="15">
        <v>43781</v>
      </c>
      <c r="O92" s="12" t="s">
        <v>237</v>
      </c>
      <c r="P92" s="12" t="s">
        <v>31</v>
      </c>
      <c r="Q92" s="12" t="s">
        <v>32</v>
      </c>
      <c r="R92" s="12" t="s">
        <v>35</v>
      </c>
      <c r="S92" s="12" t="s">
        <v>41</v>
      </c>
      <c r="T92" s="14" t="s">
        <v>27</v>
      </c>
      <c r="U92" s="12">
        <v>35.546874999999993</v>
      </c>
      <c r="V92" s="14" t="s">
        <v>105</v>
      </c>
    </row>
    <row r="93" spans="1:22" x14ac:dyDescent="0.25">
      <c r="A93" s="11">
        <v>92</v>
      </c>
      <c r="B93" s="12" t="s">
        <v>20</v>
      </c>
      <c r="C93" s="12" t="s">
        <v>22</v>
      </c>
      <c r="D93" s="12" t="s">
        <v>241</v>
      </c>
      <c r="E93" s="13">
        <v>1.73</v>
      </c>
      <c r="F93" s="12">
        <v>72</v>
      </c>
      <c r="G93" s="12" t="s">
        <v>54</v>
      </c>
      <c r="H93" s="12" t="s">
        <v>24</v>
      </c>
      <c r="I93" s="12">
        <v>0</v>
      </c>
      <c r="J93" s="12" t="s">
        <v>28</v>
      </c>
      <c r="K93" s="12" t="s">
        <v>27</v>
      </c>
      <c r="L93" s="12" t="s">
        <v>108</v>
      </c>
      <c r="M93" s="12" t="s">
        <v>240</v>
      </c>
      <c r="N93" s="15">
        <v>43778</v>
      </c>
      <c r="O93" s="12" t="s">
        <v>242</v>
      </c>
      <c r="P93" s="12" t="s">
        <v>31</v>
      </c>
      <c r="Q93" s="12" t="s">
        <v>32</v>
      </c>
      <c r="R93" s="12" t="s">
        <v>36</v>
      </c>
      <c r="S93" s="12" t="s">
        <v>41</v>
      </c>
      <c r="T93" s="14" t="s">
        <v>44</v>
      </c>
      <c r="U93" s="12">
        <v>24.056934745564501</v>
      </c>
      <c r="V93" s="14" t="s">
        <v>59</v>
      </c>
    </row>
    <row r="94" spans="1:22" x14ac:dyDescent="0.25">
      <c r="A94" s="11">
        <v>93</v>
      </c>
      <c r="B94" s="12" t="s">
        <v>21</v>
      </c>
      <c r="C94" s="12" t="s">
        <v>23</v>
      </c>
      <c r="D94" s="15">
        <v>34464</v>
      </c>
      <c r="E94" s="13">
        <v>1.87</v>
      </c>
      <c r="F94" s="12">
        <v>59</v>
      </c>
      <c r="G94" s="12" t="s">
        <v>25</v>
      </c>
      <c r="H94" s="12" t="s">
        <v>25</v>
      </c>
      <c r="I94" s="12">
        <v>18</v>
      </c>
      <c r="J94" s="12" t="s">
        <v>28</v>
      </c>
      <c r="K94" s="12" t="s">
        <v>27</v>
      </c>
      <c r="L94" s="12" t="s">
        <v>174</v>
      </c>
      <c r="M94" s="12" t="s">
        <v>243</v>
      </c>
      <c r="N94" s="12" t="s">
        <v>244</v>
      </c>
      <c r="O94" s="12" t="s">
        <v>134</v>
      </c>
      <c r="P94" s="12" t="s">
        <v>30</v>
      </c>
      <c r="Q94" s="12" t="s">
        <v>33</v>
      </c>
      <c r="R94" s="12" t="s">
        <v>37</v>
      </c>
      <c r="S94" s="12" t="s">
        <v>43</v>
      </c>
      <c r="T94" s="14" t="s">
        <v>45</v>
      </c>
      <c r="U94" s="12">
        <v>16.872086705367607</v>
      </c>
      <c r="V94" s="14" t="s">
        <v>82</v>
      </c>
    </row>
    <row r="95" spans="1:22" x14ac:dyDescent="0.25">
      <c r="A95" s="11">
        <v>94</v>
      </c>
      <c r="B95" s="12" t="s">
        <v>20</v>
      </c>
      <c r="C95" s="12" t="s">
        <v>23</v>
      </c>
      <c r="D95" s="15">
        <v>30873</v>
      </c>
      <c r="E95" s="13">
        <v>1.8</v>
      </c>
      <c r="F95" s="12">
        <v>91</v>
      </c>
      <c r="G95" s="12" t="s">
        <v>25</v>
      </c>
      <c r="H95" s="12" t="s">
        <v>25</v>
      </c>
      <c r="I95" s="12">
        <v>8</v>
      </c>
      <c r="J95" s="12" t="s">
        <v>28</v>
      </c>
      <c r="K95" s="12" t="s">
        <v>27</v>
      </c>
      <c r="L95" s="12" t="s">
        <v>174</v>
      </c>
      <c r="M95" s="12" t="s">
        <v>243</v>
      </c>
      <c r="N95" s="15">
        <v>43742</v>
      </c>
      <c r="O95" s="12" t="s">
        <v>245</v>
      </c>
      <c r="P95" s="12" t="s">
        <v>31</v>
      </c>
      <c r="Q95" s="12" t="s">
        <v>32</v>
      </c>
      <c r="R95" s="12" t="s">
        <v>36</v>
      </c>
      <c r="S95" s="12" t="s">
        <v>41</v>
      </c>
      <c r="T95" s="14" t="s">
        <v>45</v>
      </c>
      <c r="U95" s="12">
        <v>28.086419753086417</v>
      </c>
      <c r="V95" s="14" t="s">
        <v>62</v>
      </c>
    </row>
    <row r="96" spans="1:22" x14ac:dyDescent="0.25">
      <c r="A96" s="11">
        <v>95</v>
      </c>
      <c r="B96" s="12" t="s">
        <v>20</v>
      </c>
      <c r="C96" s="12" t="s">
        <v>23</v>
      </c>
      <c r="D96" s="15">
        <v>36351</v>
      </c>
      <c r="E96" s="13">
        <v>1.8</v>
      </c>
      <c r="F96" s="12">
        <v>54</v>
      </c>
      <c r="G96" s="12" t="s">
        <v>25</v>
      </c>
      <c r="H96" s="12" t="s">
        <v>25</v>
      </c>
      <c r="I96" s="12">
        <v>0</v>
      </c>
      <c r="J96" s="12" t="s">
        <v>28</v>
      </c>
      <c r="K96" s="12" t="s">
        <v>27</v>
      </c>
      <c r="L96" s="12" t="s">
        <v>101</v>
      </c>
      <c r="M96" s="12" t="s">
        <v>127</v>
      </c>
      <c r="N96" s="15">
        <v>43745</v>
      </c>
      <c r="O96" s="12" t="s">
        <v>165</v>
      </c>
      <c r="P96" s="12" t="s">
        <v>30</v>
      </c>
      <c r="Q96" s="12" t="s">
        <v>33</v>
      </c>
      <c r="R96" s="12" t="s">
        <v>37</v>
      </c>
      <c r="S96" s="12" t="s">
        <v>38</v>
      </c>
      <c r="T96" s="14" t="s">
        <v>27</v>
      </c>
      <c r="U96" s="12">
        <v>16.666666666666664</v>
      </c>
      <c r="V96" s="14" t="s">
        <v>82</v>
      </c>
    </row>
    <row r="97" spans="1:22" x14ac:dyDescent="0.25">
      <c r="A97" s="11">
        <v>96</v>
      </c>
      <c r="B97" s="12" t="s">
        <v>20</v>
      </c>
      <c r="C97" s="12" t="s">
        <v>23</v>
      </c>
      <c r="D97" s="15">
        <v>20646</v>
      </c>
      <c r="E97" s="13">
        <v>1.8</v>
      </c>
      <c r="F97" s="12">
        <v>84</v>
      </c>
      <c r="G97" s="12" t="s">
        <v>25</v>
      </c>
      <c r="H97" s="12" t="s">
        <v>25</v>
      </c>
      <c r="I97" s="12">
        <v>30</v>
      </c>
      <c r="J97" s="12" t="s">
        <v>28</v>
      </c>
      <c r="K97" s="12" t="s">
        <v>27</v>
      </c>
      <c r="L97" s="12" t="s">
        <v>129</v>
      </c>
      <c r="M97" s="12" t="s">
        <v>127</v>
      </c>
      <c r="N97" s="15">
        <v>43746</v>
      </c>
      <c r="O97" s="15">
        <v>43807</v>
      </c>
      <c r="P97" s="12" t="s">
        <v>29</v>
      </c>
      <c r="Q97" s="12" t="s">
        <v>33</v>
      </c>
      <c r="R97" s="12" t="s">
        <v>37</v>
      </c>
      <c r="S97" s="12" t="s">
        <v>38</v>
      </c>
      <c r="T97" s="14" t="s">
        <v>27</v>
      </c>
      <c r="U97" s="12">
        <v>25.925925925925924</v>
      </c>
      <c r="V97" s="14" t="s">
        <v>62</v>
      </c>
    </row>
    <row r="98" spans="1:22" x14ac:dyDescent="0.25">
      <c r="A98" s="11">
        <v>97</v>
      </c>
      <c r="B98" s="12" t="s">
        <v>20</v>
      </c>
      <c r="C98" s="12" t="s">
        <v>23</v>
      </c>
      <c r="D98" s="15">
        <v>20646</v>
      </c>
      <c r="E98" s="13">
        <v>1.8</v>
      </c>
      <c r="F98" s="12">
        <v>84</v>
      </c>
      <c r="G98" s="12" t="s">
        <v>25</v>
      </c>
      <c r="H98" s="12" t="s">
        <v>25</v>
      </c>
      <c r="I98" s="12">
        <v>0</v>
      </c>
      <c r="J98" s="12" t="s">
        <v>28</v>
      </c>
      <c r="K98" s="12" t="s">
        <v>27</v>
      </c>
      <c r="L98" s="12" t="s">
        <v>246</v>
      </c>
      <c r="M98" s="12" t="s">
        <v>247</v>
      </c>
      <c r="N98" s="15">
        <v>43777</v>
      </c>
      <c r="O98" s="12" t="s">
        <v>248</v>
      </c>
      <c r="P98" s="12" t="s">
        <v>31</v>
      </c>
      <c r="Q98" s="12" t="s">
        <v>32</v>
      </c>
      <c r="R98" s="12" t="s">
        <v>35</v>
      </c>
      <c r="S98" s="12" t="s">
        <v>40</v>
      </c>
      <c r="T98" s="14" t="s">
        <v>45</v>
      </c>
      <c r="U98" s="12">
        <v>25.925925925925924</v>
      </c>
      <c r="V98" s="14" t="s">
        <v>62</v>
      </c>
    </row>
    <row r="99" spans="1:22" x14ac:dyDescent="0.25">
      <c r="A99" s="11">
        <v>98</v>
      </c>
      <c r="B99" s="12" t="s">
        <v>21</v>
      </c>
      <c r="C99" s="12" t="s">
        <v>23</v>
      </c>
      <c r="D99" s="15">
        <v>35986</v>
      </c>
      <c r="E99" s="13">
        <v>1.65</v>
      </c>
      <c r="F99" s="12">
        <v>96</v>
      </c>
      <c r="G99" s="12" t="s">
        <v>25</v>
      </c>
      <c r="H99" s="12" t="s">
        <v>25</v>
      </c>
      <c r="I99" s="12">
        <v>30</v>
      </c>
      <c r="J99" s="12" t="s">
        <v>27</v>
      </c>
      <c r="K99" s="12" t="s">
        <v>27</v>
      </c>
      <c r="L99" s="12" t="s">
        <v>113</v>
      </c>
      <c r="M99" s="12" t="s">
        <v>249</v>
      </c>
      <c r="N99" s="12" t="s">
        <v>250</v>
      </c>
      <c r="O99" s="12" t="s">
        <v>251</v>
      </c>
      <c r="P99" s="12" t="s">
        <v>29</v>
      </c>
      <c r="Q99" s="12" t="s">
        <v>33</v>
      </c>
      <c r="R99" s="12" t="s">
        <v>37</v>
      </c>
      <c r="S99" s="12" t="s">
        <v>38</v>
      </c>
      <c r="T99" s="14" t="s">
        <v>27</v>
      </c>
      <c r="U99" s="12">
        <v>35.261707988980717</v>
      </c>
      <c r="V99" s="14" t="s">
        <v>105</v>
      </c>
    </row>
    <row r="100" spans="1:22" x14ac:dyDescent="0.25">
      <c r="A100" s="11">
        <v>99</v>
      </c>
      <c r="B100" s="12" t="s">
        <v>21</v>
      </c>
      <c r="C100" s="12" t="s">
        <v>22</v>
      </c>
      <c r="D100" s="15">
        <v>35986</v>
      </c>
      <c r="E100" s="13">
        <v>1.65</v>
      </c>
      <c r="F100" s="12">
        <v>61</v>
      </c>
      <c r="G100" s="12" t="s">
        <v>54</v>
      </c>
      <c r="H100" s="12" t="s">
        <v>25</v>
      </c>
      <c r="I100" s="12">
        <v>34</v>
      </c>
      <c r="J100" s="12" t="s">
        <v>28</v>
      </c>
      <c r="K100" s="12" t="s">
        <v>27</v>
      </c>
      <c r="L100" s="12" t="s">
        <v>162</v>
      </c>
      <c r="M100" s="12" t="s">
        <v>235</v>
      </c>
      <c r="N100" s="12" t="s">
        <v>252</v>
      </c>
      <c r="O100" s="12" t="s">
        <v>144</v>
      </c>
      <c r="P100" s="12" t="s">
        <v>31</v>
      </c>
      <c r="Q100" s="12" t="s">
        <v>32</v>
      </c>
      <c r="R100" s="12" t="s">
        <v>35</v>
      </c>
      <c r="S100" s="12" t="s">
        <v>42</v>
      </c>
      <c r="T100" s="14" t="s">
        <v>27</v>
      </c>
      <c r="U100" s="12">
        <v>22.4058769513315</v>
      </c>
      <c r="V100" s="14" t="s">
        <v>59</v>
      </c>
    </row>
    <row r="101" spans="1:22" x14ac:dyDescent="0.25">
      <c r="A101" s="18">
        <v>100</v>
      </c>
      <c r="B101" s="19" t="s">
        <v>21</v>
      </c>
      <c r="C101" s="19" t="s">
        <v>22</v>
      </c>
      <c r="D101" s="20">
        <v>34160</v>
      </c>
      <c r="E101" s="21">
        <v>1.17</v>
      </c>
      <c r="F101" s="19">
        <v>116</v>
      </c>
      <c r="G101" s="19" t="s">
        <v>54</v>
      </c>
      <c r="H101" s="19" t="s">
        <v>24</v>
      </c>
      <c r="I101" s="19">
        <v>50</v>
      </c>
      <c r="J101" s="19" t="s">
        <v>28</v>
      </c>
      <c r="K101" s="19" t="s">
        <v>27</v>
      </c>
      <c r="L101" s="19" t="s">
        <v>141</v>
      </c>
      <c r="M101" s="19" t="s">
        <v>222</v>
      </c>
      <c r="N101" s="19" t="s">
        <v>253</v>
      </c>
      <c r="O101" s="19" t="s">
        <v>254</v>
      </c>
      <c r="P101" s="19" t="s">
        <v>30</v>
      </c>
      <c r="Q101" s="19" t="s">
        <v>33</v>
      </c>
      <c r="R101" s="19" t="s">
        <v>37</v>
      </c>
      <c r="S101" s="19" t="s">
        <v>42</v>
      </c>
      <c r="T101" s="22" t="s">
        <v>45</v>
      </c>
      <c r="U101" s="19">
        <v>84.739571919059117</v>
      </c>
      <c r="V101" s="22" t="s">
        <v>139</v>
      </c>
    </row>
    <row r="102" spans="1:2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2"/>
      <c r="U102" s="1"/>
      <c r="V102" s="1"/>
    </row>
    <row r="103" spans="1:2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2"/>
      <c r="U103" s="1"/>
      <c r="V103" s="1"/>
    </row>
    <row r="104" spans="1:2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2"/>
      <c r="U104" s="1"/>
      <c r="V104" s="1"/>
    </row>
    <row r="105" spans="1:2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2"/>
      <c r="U105" s="1"/>
      <c r="V105" s="1"/>
    </row>
    <row r="106" spans="1:2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2"/>
      <c r="U106" s="1"/>
      <c r="V106" s="1"/>
    </row>
    <row r="107" spans="1:2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2"/>
      <c r="U107" s="1"/>
      <c r="V107" s="1"/>
    </row>
    <row r="108" spans="1:2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2"/>
      <c r="U108" s="1"/>
      <c r="V108" s="1"/>
    </row>
    <row r="109" spans="1:2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2"/>
      <c r="U109" s="1"/>
      <c r="V109" s="1"/>
    </row>
    <row r="110" spans="1:2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2"/>
      <c r="U110" s="1"/>
      <c r="V110" s="1"/>
    </row>
    <row r="111" spans="1:2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2"/>
      <c r="U111" s="1"/>
      <c r="V111" s="1"/>
    </row>
    <row r="112" spans="1:2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2"/>
      <c r="U112" s="1"/>
      <c r="V112" s="1"/>
    </row>
    <row r="113" spans="1:2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2"/>
      <c r="U113" s="1"/>
      <c r="V113" s="1"/>
    </row>
    <row r="114" spans="1:2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2"/>
      <c r="U114" s="1"/>
      <c r="V114" s="1"/>
    </row>
    <row r="115" spans="1:2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2"/>
      <c r="U115" s="1"/>
      <c r="V115" s="1"/>
    </row>
    <row r="116" spans="1:2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2"/>
      <c r="U116" s="1"/>
      <c r="V116" s="1"/>
    </row>
    <row r="117" spans="1:2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2"/>
      <c r="U117" s="1"/>
      <c r="V117" s="1"/>
    </row>
    <row r="118" spans="1:2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2"/>
      <c r="U118" s="1"/>
      <c r="V118" s="1"/>
    </row>
    <row r="119" spans="1:2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2"/>
      <c r="U119" s="1"/>
      <c r="V119" s="1"/>
    </row>
    <row r="120" spans="1:2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2"/>
      <c r="U120" s="1"/>
      <c r="V120" s="1"/>
    </row>
    <row r="121" spans="1:2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2"/>
      <c r="U121" s="1"/>
      <c r="V121" s="1"/>
    </row>
    <row r="122" spans="1:2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2"/>
      <c r="U122" s="1"/>
      <c r="V122" s="1"/>
    </row>
    <row r="123" spans="1:2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2"/>
      <c r="U123" s="1"/>
      <c r="V123" s="1"/>
    </row>
    <row r="124" spans="1:2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2"/>
      <c r="U124" s="1"/>
      <c r="V124" s="1"/>
    </row>
    <row r="125" spans="1:2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2"/>
      <c r="U125" s="1"/>
      <c r="V125" s="1"/>
    </row>
    <row r="126" spans="1:2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2"/>
      <c r="U126" s="1"/>
      <c r="V126" s="1"/>
    </row>
    <row r="127" spans="1:2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2"/>
      <c r="U127" s="1"/>
      <c r="V127" s="1"/>
    </row>
    <row r="128" spans="1:2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2"/>
      <c r="U128" s="1"/>
      <c r="V128" s="1"/>
    </row>
    <row r="129" spans="1:2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2"/>
      <c r="U129" s="1"/>
      <c r="V129" s="1"/>
    </row>
    <row r="130" spans="1:2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2"/>
      <c r="U130" s="1"/>
      <c r="V130" s="1"/>
    </row>
    <row r="131" spans="1:2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2"/>
      <c r="U131" s="1"/>
      <c r="V131" s="1"/>
    </row>
    <row r="132" spans="1:2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2"/>
      <c r="U132" s="1"/>
      <c r="V132" s="1"/>
    </row>
    <row r="133" spans="1:2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2"/>
      <c r="U133" s="1"/>
      <c r="V133" s="1"/>
    </row>
    <row r="134" spans="1:2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2"/>
      <c r="U134" s="1"/>
      <c r="V134" s="1"/>
    </row>
    <row r="135" spans="1:2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2"/>
      <c r="U135" s="1"/>
      <c r="V135" s="1"/>
    </row>
    <row r="136" spans="1:2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2"/>
      <c r="U136" s="1"/>
      <c r="V136" s="1"/>
    </row>
    <row r="137" spans="1:2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2"/>
      <c r="U137" s="1"/>
      <c r="V137" s="1"/>
    </row>
    <row r="138" spans="1:2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2"/>
      <c r="U138" s="1"/>
      <c r="V138" s="1"/>
    </row>
    <row r="139" spans="1:2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2"/>
      <c r="U139" s="1"/>
      <c r="V139" s="1"/>
    </row>
    <row r="140" spans="1:2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2"/>
      <c r="U140" s="1"/>
      <c r="V140" s="1"/>
    </row>
    <row r="141" spans="1:2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2"/>
      <c r="U141" s="1"/>
      <c r="V141" s="1"/>
    </row>
    <row r="142" spans="1:2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2"/>
      <c r="U142" s="1"/>
      <c r="V142" s="1"/>
    </row>
    <row r="143" spans="1:2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2"/>
      <c r="U143" s="1"/>
      <c r="V143" s="1"/>
    </row>
    <row r="144" spans="1:2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2"/>
      <c r="U144" s="1"/>
      <c r="V144" s="1"/>
    </row>
    <row r="145" spans="1:2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2"/>
      <c r="U145" s="1"/>
      <c r="V145" s="1"/>
    </row>
    <row r="146" spans="1:2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2"/>
      <c r="U146" s="1"/>
      <c r="V146" s="1"/>
    </row>
    <row r="147" spans="1:2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2"/>
      <c r="U147" s="1"/>
      <c r="V147" s="1"/>
    </row>
    <row r="148" spans="1:2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2"/>
      <c r="U148" s="1"/>
      <c r="V148" s="1"/>
    </row>
    <row r="149" spans="1:2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2"/>
      <c r="U149" s="1"/>
      <c r="V149" s="1"/>
    </row>
    <row r="150" spans="1:2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2"/>
      <c r="U150" s="1"/>
      <c r="V150" s="1"/>
    </row>
    <row r="151" spans="1:2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2"/>
      <c r="U151" s="1"/>
      <c r="V151" s="1"/>
    </row>
    <row r="152" spans="1:2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2"/>
      <c r="U152" s="1"/>
      <c r="V152" s="1"/>
    </row>
    <row r="153" spans="1:2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2"/>
      <c r="U153" s="1"/>
      <c r="V153" s="1"/>
    </row>
    <row r="154" spans="1:2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2"/>
      <c r="U154" s="1"/>
      <c r="V154" s="1"/>
    </row>
    <row r="155" spans="1:2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2"/>
      <c r="U155" s="1"/>
      <c r="V155" s="1"/>
    </row>
    <row r="156" spans="1:2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2"/>
      <c r="U156" s="1"/>
      <c r="V156" s="1"/>
    </row>
    <row r="157" spans="1:2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2"/>
      <c r="U157" s="1"/>
      <c r="V157" s="1"/>
    </row>
    <row r="158" spans="1:2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2"/>
      <c r="U158" s="1"/>
      <c r="V158" s="1"/>
    </row>
    <row r="159" spans="1:2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2"/>
      <c r="U159" s="1"/>
      <c r="V159" s="1"/>
    </row>
    <row r="160" spans="1:2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2"/>
      <c r="U160" s="1"/>
      <c r="V160" s="1"/>
    </row>
    <row r="161" spans="1:2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2"/>
      <c r="U161" s="1"/>
      <c r="V161" s="1"/>
    </row>
    <row r="162" spans="1:2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2"/>
      <c r="U162" s="1"/>
      <c r="V162" s="1"/>
    </row>
    <row r="163" spans="1:2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2"/>
      <c r="U163" s="1"/>
      <c r="V163" s="1"/>
    </row>
    <row r="164" spans="1:2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2"/>
      <c r="U164" s="1"/>
      <c r="V164" s="1"/>
    </row>
    <row r="165" spans="1:2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2"/>
      <c r="U165" s="1"/>
      <c r="V165" s="1"/>
    </row>
    <row r="166" spans="1:2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2"/>
      <c r="U166" s="1"/>
      <c r="V166" s="1"/>
    </row>
    <row r="167" spans="1:2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2"/>
      <c r="U167" s="1"/>
      <c r="V167" s="1"/>
    </row>
    <row r="168" spans="1:2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2"/>
      <c r="U168" s="1"/>
      <c r="V168" s="1"/>
    </row>
    <row r="169" spans="1:2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2"/>
      <c r="U169" s="1"/>
      <c r="V169" s="1"/>
    </row>
    <row r="170" spans="1:2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2"/>
      <c r="U170" s="1"/>
      <c r="V170" s="1"/>
    </row>
    <row r="171" spans="1:2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2"/>
      <c r="U171" s="1"/>
      <c r="V171" s="1"/>
    </row>
    <row r="172" spans="1:2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2"/>
      <c r="U172" s="1"/>
      <c r="V172" s="1"/>
    </row>
    <row r="173" spans="1:2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2"/>
      <c r="U173" s="1"/>
      <c r="V173" s="1"/>
    </row>
    <row r="174" spans="1:2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2"/>
      <c r="U174" s="1"/>
      <c r="V174" s="1"/>
    </row>
    <row r="175" spans="1:2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2"/>
      <c r="U175" s="1"/>
      <c r="V175" s="1"/>
    </row>
    <row r="176" spans="1:2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2"/>
      <c r="U176" s="1"/>
      <c r="V176" s="1"/>
    </row>
    <row r="177" spans="1:2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2"/>
      <c r="U177" s="1"/>
      <c r="V177" s="1"/>
    </row>
    <row r="178" spans="1:2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2"/>
      <c r="U178" s="1"/>
      <c r="V178" s="1"/>
    </row>
    <row r="179" spans="1:2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2"/>
      <c r="U179" s="1"/>
      <c r="V179" s="1"/>
    </row>
    <row r="180" spans="1:2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2"/>
      <c r="U180" s="1"/>
      <c r="V180" s="1"/>
    </row>
    <row r="181" spans="1:2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2"/>
      <c r="U181" s="1"/>
      <c r="V181" s="1"/>
    </row>
    <row r="182" spans="1:2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2"/>
      <c r="U182" s="1"/>
      <c r="V182" s="1"/>
    </row>
    <row r="183" spans="1:2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2"/>
      <c r="U183" s="1"/>
      <c r="V183" s="1"/>
    </row>
    <row r="184" spans="1:2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2"/>
      <c r="U184" s="1"/>
      <c r="V184" s="1"/>
    </row>
    <row r="185" spans="1:2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2"/>
      <c r="U185" s="1"/>
      <c r="V185" s="1"/>
    </row>
    <row r="186" spans="1:2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2"/>
      <c r="U186" s="1"/>
      <c r="V186" s="1"/>
    </row>
    <row r="187" spans="1:2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2"/>
      <c r="U187" s="1"/>
      <c r="V187" s="1"/>
    </row>
    <row r="188" spans="1:2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2"/>
      <c r="U188" s="1"/>
      <c r="V188" s="1"/>
    </row>
    <row r="189" spans="1:2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2"/>
      <c r="U189" s="1"/>
      <c r="V189" s="1"/>
    </row>
    <row r="190" spans="1:2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2"/>
      <c r="U190" s="1"/>
      <c r="V190" s="1"/>
    </row>
    <row r="191" spans="1:2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2"/>
      <c r="U191" s="1"/>
      <c r="V191" s="1"/>
    </row>
    <row r="192" spans="1:2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2"/>
      <c r="U192" s="1"/>
      <c r="V192" s="1"/>
    </row>
    <row r="193" spans="1:2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2"/>
      <c r="U193" s="1"/>
      <c r="V193" s="1"/>
    </row>
    <row r="194" spans="1:2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2"/>
      <c r="U194" s="1"/>
      <c r="V194" s="1"/>
    </row>
    <row r="195" spans="1:2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2"/>
      <c r="U195" s="1"/>
      <c r="V195" s="1"/>
    </row>
    <row r="196" spans="1:2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2"/>
      <c r="U196" s="1"/>
      <c r="V196" s="1"/>
    </row>
    <row r="197" spans="1:2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2"/>
      <c r="U197" s="1"/>
      <c r="V197" s="1"/>
    </row>
    <row r="198" spans="1:2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2"/>
      <c r="U198" s="1"/>
      <c r="V198" s="1"/>
    </row>
    <row r="199" spans="1:2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2"/>
      <c r="U199" s="1"/>
      <c r="V199" s="1"/>
    </row>
    <row r="200" spans="1:2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2"/>
      <c r="U200" s="1"/>
      <c r="V200" s="1"/>
    </row>
    <row r="201" spans="1:2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2"/>
      <c r="U201" s="1"/>
      <c r="V201" s="1"/>
    </row>
    <row r="202" spans="1:2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2"/>
      <c r="U202" s="1"/>
      <c r="V202" s="1"/>
    </row>
    <row r="203" spans="1:2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2"/>
      <c r="U203" s="1"/>
      <c r="V203" s="1"/>
    </row>
    <row r="204" spans="1:2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2"/>
      <c r="U204" s="1"/>
      <c r="V204" s="1"/>
    </row>
    <row r="205" spans="1:2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2"/>
      <c r="U205" s="1"/>
      <c r="V205" s="1"/>
    </row>
    <row r="206" spans="1:2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2"/>
      <c r="U206" s="1"/>
      <c r="V206" s="1"/>
    </row>
    <row r="207" spans="1:2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2"/>
      <c r="U207" s="1"/>
      <c r="V207" s="1"/>
    </row>
    <row r="208" spans="1:2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2"/>
      <c r="U208" s="1"/>
      <c r="V208" s="1"/>
    </row>
    <row r="209" spans="1:2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2"/>
      <c r="U209" s="1"/>
      <c r="V209" s="1"/>
    </row>
    <row r="210" spans="1:2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2"/>
      <c r="U210" s="1"/>
      <c r="V210" s="1"/>
    </row>
    <row r="211" spans="1:2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2"/>
      <c r="U211" s="1"/>
      <c r="V211" s="1"/>
    </row>
    <row r="212" spans="1:2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2"/>
      <c r="U212" s="1"/>
      <c r="V212" s="1"/>
    </row>
    <row r="213" spans="1:2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2"/>
      <c r="U213" s="1"/>
      <c r="V213" s="1"/>
    </row>
    <row r="214" spans="1:2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2"/>
      <c r="U214" s="1"/>
      <c r="V214" s="1"/>
    </row>
    <row r="215" spans="1:2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2"/>
      <c r="U215" s="1"/>
      <c r="V215" s="1"/>
    </row>
    <row r="216" spans="1:2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2"/>
      <c r="U216" s="1"/>
      <c r="V216" s="1"/>
    </row>
    <row r="217" spans="1:2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2"/>
      <c r="U217" s="1"/>
      <c r="V217" s="1"/>
    </row>
    <row r="218" spans="1:2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2"/>
      <c r="U218" s="1"/>
      <c r="V218" s="1"/>
    </row>
    <row r="219" spans="1:2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2"/>
      <c r="U219" s="1"/>
      <c r="V219" s="1"/>
    </row>
    <row r="220" spans="1:2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2"/>
      <c r="U220" s="1"/>
      <c r="V220" s="1"/>
    </row>
    <row r="221" spans="1:2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2"/>
      <c r="U221" s="1"/>
      <c r="V221" s="1"/>
    </row>
    <row r="222" spans="1:2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2"/>
      <c r="U222" s="1"/>
      <c r="V222" s="1"/>
    </row>
    <row r="223" spans="1:2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2"/>
      <c r="U223" s="1"/>
      <c r="V223" s="1"/>
    </row>
    <row r="224" spans="1:2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2"/>
      <c r="U224" s="1"/>
      <c r="V224" s="1"/>
    </row>
    <row r="225" spans="1:2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2"/>
      <c r="U225" s="1"/>
      <c r="V225" s="1"/>
    </row>
    <row r="226" spans="1:2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2"/>
      <c r="U226" s="1"/>
      <c r="V226" s="1"/>
    </row>
    <row r="227" spans="1:2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2"/>
      <c r="U227" s="1"/>
      <c r="V227" s="1"/>
    </row>
    <row r="228" spans="1:2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2"/>
      <c r="U228" s="1"/>
      <c r="V228" s="1"/>
    </row>
    <row r="229" spans="1:2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2"/>
      <c r="U229" s="1"/>
      <c r="V229" s="1"/>
    </row>
    <row r="230" spans="1:2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2"/>
      <c r="U230" s="1"/>
      <c r="V230" s="1"/>
    </row>
    <row r="231" spans="1:2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2"/>
      <c r="U231" s="1"/>
      <c r="V231" s="1"/>
    </row>
    <row r="232" spans="1:2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2"/>
      <c r="U232" s="1"/>
      <c r="V232" s="1"/>
    </row>
    <row r="233" spans="1:2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2"/>
      <c r="U233" s="1"/>
      <c r="V233" s="1"/>
    </row>
    <row r="234" spans="1:2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2"/>
      <c r="U234" s="1"/>
      <c r="V234" s="1"/>
    </row>
    <row r="235" spans="1:2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2"/>
      <c r="U235" s="1"/>
      <c r="V235" s="1"/>
    </row>
    <row r="236" spans="1:2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2"/>
      <c r="U236" s="1"/>
      <c r="V236" s="1"/>
    </row>
    <row r="237" spans="1:2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2"/>
      <c r="U237" s="1"/>
      <c r="V237" s="1"/>
    </row>
    <row r="238" spans="1:2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2"/>
      <c r="U238" s="1"/>
      <c r="V238" s="1"/>
    </row>
    <row r="239" spans="1:2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2"/>
      <c r="U239" s="1"/>
      <c r="V239" s="1"/>
    </row>
    <row r="240" spans="1:2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2"/>
      <c r="U240" s="1"/>
      <c r="V240" s="1"/>
    </row>
    <row r="241" spans="1:2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2"/>
      <c r="U241" s="1"/>
      <c r="V241" s="1"/>
    </row>
    <row r="242" spans="1:2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2"/>
      <c r="U242" s="1"/>
      <c r="V242" s="1"/>
    </row>
    <row r="243" spans="1:2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2"/>
      <c r="U243" s="1"/>
      <c r="V243" s="1"/>
    </row>
    <row r="244" spans="1:2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2"/>
      <c r="U244" s="1"/>
      <c r="V244" s="1"/>
    </row>
    <row r="245" spans="1:2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2"/>
      <c r="U245" s="1"/>
      <c r="V245" s="1"/>
    </row>
    <row r="246" spans="1:2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2"/>
      <c r="U246" s="1"/>
      <c r="V246" s="1"/>
    </row>
    <row r="247" spans="1:2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2"/>
      <c r="U247" s="1"/>
      <c r="V247" s="1"/>
    </row>
    <row r="248" spans="1:2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2"/>
      <c r="U248" s="1"/>
      <c r="V248" s="1"/>
    </row>
    <row r="249" spans="1:2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2"/>
      <c r="U249" s="1"/>
      <c r="V249" s="1"/>
    </row>
    <row r="250" spans="1:2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2"/>
      <c r="U250" s="1"/>
      <c r="V250" s="1"/>
    </row>
    <row r="251" spans="1:2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2"/>
      <c r="U251" s="1"/>
      <c r="V251" s="1"/>
    </row>
    <row r="252" spans="1:2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2"/>
      <c r="U252" s="1"/>
      <c r="V252" s="1"/>
    </row>
    <row r="253" spans="1:2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2"/>
      <c r="U253" s="1"/>
      <c r="V253" s="1"/>
    </row>
    <row r="254" spans="1:2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2"/>
      <c r="U254" s="1"/>
      <c r="V254" s="1"/>
    </row>
    <row r="255" spans="1:2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2"/>
      <c r="U255" s="1"/>
      <c r="V255" s="1"/>
    </row>
    <row r="256" spans="1:2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2"/>
      <c r="U256" s="1"/>
      <c r="V256" s="1"/>
    </row>
    <row r="257" spans="1:2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2"/>
      <c r="U257" s="1"/>
      <c r="V257" s="1"/>
    </row>
    <row r="258" spans="1:2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2"/>
      <c r="U258" s="1"/>
      <c r="V258" s="1"/>
    </row>
    <row r="259" spans="1:2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2"/>
      <c r="U259" s="1"/>
      <c r="V259" s="1"/>
    </row>
    <row r="260" spans="1:2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2"/>
      <c r="U260" s="1"/>
      <c r="V260" s="1"/>
    </row>
    <row r="261" spans="1:2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2"/>
      <c r="U261" s="1"/>
      <c r="V261" s="1"/>
    </row>
    <row r="262" spans="1:2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2"/>
      <c r="U262" s="1"/>
      <c r="V262" s="1"/>
    </row>
    <row r="263" spans="1:2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2"/>
      <c r="U263" s="1"/>
      <c r="V263" s="1"/>
    </row>
    <row r="264" spans="1:2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2"/>
      <c r="U264" s="1"/>
      <c r="V264" s="1"/>
    </row>
    <row r="265" spans="1:2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2"/>
      <c r="U265" s="1"/>
      <c r="V265" s="1"/>
    </row>
    <row r="266" spans="1:2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2"/>
      <c r="U266" s="1"/>
      <c r="V266" s="1"/>
    </row>
    <row r="267" spans="1:2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2"/>
      <c r="U267" s="1"/>
      <c r="V267" s="1"/>
    </row>
    <row r="268" spans="1:2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2"/>
      <c r="U268" s="1"/>
      <c r="V268" s="1"/>
    </row>
    <row r="269" spans="1:2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2"/>
      <c r="U269" s="1"/>
      <c r="V269" s="1"/>
    </row>
    <row r="270" spans="1:2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2"/>
      <c r="U270" s="1"/>
      <c r="V270" s="1"/>
    </row>
    <row r="271" spans="1:2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2"/>
      <c r="U271" s="1"/>
      <c r="V271" s="1"/>
    </row>
    <row r="272" spans="1:2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2"/>
      <c r="U272" s="1"/>
      <c r="V272" s="1"/>
    </row>
    <row r="273" spans="1:2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2"/>
      <c r="U273" s="1"/>
      <c r="V273" s="1"/>
    </row>
    <row r="274" spans="1:2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2"/>
      <c r="U274" s="1"/>
      <c r="V274" s="1"/>
    </row>
    <row r="275" spans="1:2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2"/>
      <c r="U275" s="1"/>
      <c r="V275" s="1"/>
    </row>
    <row r="276" spans="1:2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2"/>
      <c r="U276" s="1"/>
      <c r="V276" s="1"/>
    </row>
    <row r="277" spans="1:2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2"/>
      <c r="U277" s="1"/>
      <c r="V277" s="1"/>
    </row>
    <row r="278" spans="1:2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2"/>
      <c r="U278" s="1"/>
      <c r="V278" s="1"/>
    </row>
    <row r="279" spans="1:2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2"/>
      <c r="U279" s="1"/>
      <c r="V279" s="1"/>
    </row>
    <row r="280" spans="1:2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2"/>
      <c r="U280" s="1"/>
      <c r="V280" s="1"/>
    </row>
    <row r="281" spans="1:2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2"/>
      <c r="U281" s="1"/>
      <c r="V281" s="1"/>
    </row>
    <row r="282" spans="1:2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2"/>
      <c r="U282" s="1"/>
      <c r="V282" s="1"/>
    </row>
    <row r="283" spans="1:2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2"/>
      <c r="U283" s="1"/>
      <c r="V283" s="1"/>
    </row>
    <row r="284" spans="1:2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2"/>
      <c r="U284" s="1"/>
      <c r="V284" s="1"/>
    </row>
    <row r="285" spans="1:2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2"/>
      <c r="U285" s="1"/>
      <c r="V285" s="1"/>
    </row>
    <row r="286" spans="1:2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2"/>
      <c r="U286" s="1"/>
      <c r="V286" s="1"/>
    </row>
    <row r="287" spans="1:2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2"/>
      <c r="U287" s="1"/>
      <c r="V287" s="1"/>
    </row>
    <row r="288" spans="1:2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2"/>
      <c r="U288" s="1"/>
      <c r="V288" s="1"/>
    </row>
    <row r="289" spans="1:2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2"/>
      <c r="U289" s="1"/>
      <c r="V289" s="1"/>
    </row>
    <row r="290" spans="1:2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2"/>
      <c r="U290" s="1"/>
      <c r="V290" s="1"/>
    </row>
    <row r="291" spans="1:2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2"/>
      <c r="U291" s="1"/>
      <c r="V291" s="1"/>
    </row>
    <row r="292" spans="1:2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2"/>
      <c r="U292" s="1"/>
      <c r="V292" s="1"/>
    </row>
    <row r="293" spans="1:2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2"/>
      <c r="U293" s="1"/>
      <c r="V293" s="1"/>
    </row>
    <row r="294" spans="1:2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2"/>
      <c r="U294" s="1"/>
      <c r="V294" s="1"/>
    </row>
    <row r="295" spans="1:2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2"/>
      <c r="U295" s="1"/>
      <c r="V295" s="1"/>
    </row>
    <row r="296" spans="1:2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2"/>
      <c r="U296" s="1"/>
      <c r="V296" s="1"/>
    </row>
    <row r="297" spans="1:22" x14ac:dyDescent="0.25">
      <c r="A297" s="1"/>
      <c r="B297" s="1"/>
      <c r="C297" s="1"/>
      <c r="D297" s="1"/>
      <c r="E297" s="1"/>
      <c r="F297" s="1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4"/>
      <c r="U297" s="1"/>
      <c r="V297" s="1"/>
    </row>
    <row r="298" spans="1:22" x14ac:dyDescent="0.25"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</row>
    <row r="299" spans="1:22" x14ac:dyDescent="0.25"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</row>
    <row r="300" spans="1:22" x14ac:dyDescent="0.25"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2"/>
  <sheetViews>
    <sheetView workbookViewId="0">
      <selection activeCell="D12" sqref="D12"/>
    </sheetView>
  </sheetViews>
  <sheetFormatPr baseColWidth="10" defaultRowHeight="15" x14ac:dyDescent="0.25"/>
  <sheetData>
    <row r="1" spans="1:1" x14ac:dyDescent="0.25">
      <c r="A1" t="s">
        <v>22</v>
      </c>
    </row>
    <row r="2" spans="1:1" x14ac:dyDescent="0.25">
      <c r="A2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3"/>
  <sheetViews>
    <sheetView workbookViewId="0">
      <selection activeCell="D17" sqref="D17"/>
    </sheetView>
  </sheetViews>
  <sheetFormatPr baseColWidth="10" defaultRowHeight="15" x14ac:dyDescent="0.25"/>
  <sheetData>
    <row r="1" spans="1:1" x14ac:dyDescent="0.25">
      <c r="A1" t="s">
        <v>24</v>
      </c>
    </row>
    <row r="2" spans="1:1" x14ac:dyDescent="0.25">
      <c r="A2" t="s">
        <v>25</v>
      </c>
    </row>
    <row r="3" spans="1:1" x14ac:dyDescent="0.25">
      <c r="A3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2"/>
  <sheetViews>
    <sheetView workbookViewId="0">
      <selection activeCell="D22" sqref="D22"/>
    </sheetView>
  </sheetViews>
  <sheetFormatPr baseColWidth="10" defaultRowHeight="15" x14ac:dyDescent="0.25"/>
  <sheetData>
    <row r="1" spans="1:1" x14ac:dyDescent="0.25">
      <c r="A1" t="s">
        <v>24</v>
      </c>
    </row>
    <row r="2" spans="1:1" x14ac:dyDescent="0.25">
      <c r="A2" t="s"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2"/>
  <sheetViews>
    <sheetView workbookViewId="0">
      <selection activeCell="F23" sqref="F23"/>
    </sheetView>
  </sheetViews>
  <sheetFormatPr baseColWidth="10" defaultRowHeight="15" x14ac:dyDescent="0.25"/>
  <sheetData>
    <row r="1" spans="1:1" x14ac:dyDescent="0.25">
      <c r="A1" t="s">
        <v>27</v>
      </c>
    </row>
    <row r="2" spans="1:1" x14ac:dyDescent="0.25">
      <c r="A2" t="s">
        <v>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2"/>
  <sheetViews>
    <sheetView workbookViewId="0">
      <selection activeCell="D16" sqref="D16"/>
    </sheetView>
  </sheetViews>
  <sheetFormatPr baseColWidth="10" defaultRowHeight="15" x14ac:dyDescent="0.25"/>
  <sheetData>
    <row r="1" spans="1:1" x14ac:dyDescent="0.25">
      <c r="A1" t="s">
        <v>27</v>
      </c>
    </row>
    <row r="2" spans="1:1" x14ac:dyDescent="0.25">
      <c r="A2" t="s">
        <v>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3"/>
  <sheetViews>
    <sheetView workbookViewId="0">
      <selection activeCell="F21" sqref="F21"/>
    </sheetView>
  </sheetViews>
  <sheetFormatPr baseColWidth="10" defaultRowHeight="15" x14ac:dyDescent="0.25"/>
  <sheetData>
    <row r="1" spans="1:1" x14ac:dyDescent="0.25">
      <c r="A1" t="s">
        <v>29</v>
      </c>
    </row>
    <row r="2" spans="1:1" x14ac:dyDescent="0.25">
      <c r="A2" t="s">
        <v>30</v>
      </c>
    </row>
    <row r="3" spans="1:1" x14ac:dyDescent="0.25">
      <c r="A3" t="s">
        <v>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A2"/>
  <sheetViews>
    <sheetView workbookViewId="0">
      <selection activeCell="B10" sqref="B10"/>
    </sheetView>
  </sheetViews>
  <sheetFormatPr baseColWidth="10" defaultRowHeight="15" x14ac:dyDescent="0.25"/>
  <sheetData>
    <row r="1" spans="1:1" x14ac:dyDescent="0.25">
      <c r="A1" t="s">
        <v>32</v>
      </c>
    </row>
    <row r="2" spans="1:1" x14ac:dyDescent="0.25">
      <c r="A2" t="s">
        <v>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A4"/>
  <sheetViews>
    <sheetView workbookViewId="0">
      <selection activeCell="I23" sqref="I23"/>
    </sheetView>
  </sheetViews>
  <sheetFormatPr baseColWidth="10" defaultRowHeight="15" x14ac:dyDescent="0.25"/>
  <cols>
    <col min="1" max="1" width="14" customWidth="1"/>
  </cols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6"/>
  <sheetViews>
    <sheetView workbookViewId="0">
      <selection activeCell="I21" sqref="I21"/>
    </sheetView>
  </sheetViews>
  <sheetFormatPr baseColWidth="10" defaultRowHeight="15" x14ac:dyDescent="0.25"/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4"/>
  <sheetViews>
    <sheetView workbookViewId="0">
      <selection activeCell="I24" sqref="I24"/>
    </sheetView>
  </sheetViews>
  <sheetFormatPr baseColWidth="10" defaultRowHeight="15" x14ac:dyDescent="0.25"/>
  <sheetData>
    <row r="1" spans="1:1" x14ac:dyDescent="0.25">
      <c r="A1" t="s">
        <v>27</v>
      </c>
    </row>
    <row r="2" spans="1:1" x14ac:dyDescent="0.25">
      <c r="A2" t="s">
        <v>44</v>
      </c>
    </row>
    <row r="3" spans="1:1" x14ac:dyDescent="0.25">
      <c r="A3" t="s">
        <v>28</v>
      </c>
    </row>
    <row r="4" spans="1:1" x14ac:dyDescent="0.25">
      <c r="A4" t="s">
        <v>45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Y42"/>
  <sheetViews>
    <sheetView workbookViewId="0">
      <selection activeCell="X31" sqref="X31"/>
    </sheetView>
  </sheetViews>
  <sheetFormatPr baseColWidth="10" defaultRowHeight="15" x14ac:dyDescent="0.25"/>
  <sheetData>
    <row r="1" spans="1:22" x14ac:dyDescent="0.25">
      <c r="A1" s="28" t="s">
        <v>0</v>
      </c>
      <c r="B1" s="28" t="s">
        <v>1</v>
      </c>
      <c r="C1" s="28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8" t="s">
        <v>17</v>
      </c>
      <c r="S1" s="28" t="s">
        <v>18</v>
      </c>
      <c r="T1" s="29" t="s">
        <v>19</v>
      </c>
      <c r="U1" s="28" t="s">
        <v>46</v>
      </c>
      <c r="V1" s="28" t="s">
        <v>47</v>
      </c>
    </row>
    <row r="2" spans="1:22" x14ac:dyDescent="0.25">
      <c r="A2" s="23">
        <v>3</v>
      </c>
      <c r="B2" s="23" t="s">
        <v>20</v>
      </c>
      <c r="C2" s="23" t="s">
        <v>22</v>
      </c>
      <c r="D2" s="25" t="s">
        <v>63</v>
      </c>
      <c r="E2" s="24">
        <v>1.69</v>
      </c>
      <c r="F2" s="23">
        <v>80</v>
      </c>
      <c r="G2" s="23" t="s">
        <v>54</v>
      </c>
      <c r="H2" s="23" t="s">
        <v>24</v>
      </c>
      <c r="I2" s="23">
        <v>15</v>
      </c>
      <c r="J2" s="23" t="s">
        <v>28</v>
      </c>
      <c r="K2" s="23" t="s">
        <v>27</v>
      </c>
      <c r="L2" s="23" t="s">
        <v>60</v>
      </c>
      <c r="M2" s="23" t="s">
        <v>61</v>
      </c>
      <c r="N2" s="25" t="s">
        <v>64</v>
      </c>
      <c r="O2" s="25" t="s">
        <v>65</v>
      </c>
      <c r="P2" s="23" t="s">
        <v>30</v>
      </c>
      <c r="Q2" s="23" t="s">
        <v>33</v>
      </c>
      <c r="R2" s="23" t="s">
        <v>37</v>
      </c>
      <c r="S2" s="23" t="s">
        <v>38</v>
      </c>
      <c r="T2" s="27" t="s">
        <v>27</v>
      </c>
      <c r="U2" s="23">
        <v>28.010223731662059</v>
      </c>
      <c r="V2" s="23" t="s">
        <v>62</v>
      </c>
    </row>
    <row r="3" spans="1:22" x14ac:dyDescent="0.25">
      <c r="A3" s="23">
        <v>5</v>
      </c>
      <c r="B3" s="23" t="s">
        <v>21</v>
      </c>
      <c r="C3" s="23" t="s">
        <v>22</v>
      </c>
      <c r="D3" s="23" t="s">
        <v>70</v>
      </c>
      <c r="E3" s="24">
        <v>1.82</v>
      </c>
      <c r="F3" s="23">
        <v>93</v>
      </c>
      <c r="G3" s="23" t="s">
        <v>54</v>
      </c>
      <c r="H3" s="23" t="s">
        <v>25</v>
      </c>
      <c r="I3" s="23">
        <v>0</v>
      </c>
      <c r="J3" s="23" t="s">
        <v>28</v>
      </c>
      <c r="K3" s="23" t="s">
        <v>27</v>
      </c>
      <c r="L3" s="23" t="s">
        <v>71</v>
      </c>
      <c r="M3" s="23" t="s">
        <v>72</v>
      </c>
      <c r="N3" s="25">
        <v>43718</v>
      </c>
      <c r="O3" s="23" t="s">
        <v>73</v>
      </c>
      <c r="P3" s="23" t="s">
        <v>29</v>
      </c>
      <c r="Q3" s="23" t="s">
        <v>33</v>
      </c>
      <c r="R3" s="23" t="s">
        <v>34</v>
      </c>
      <c r="S3" s="23" t="s">
        <v>42</v>
      </c>
      <c r="T3" s="27" t="s">
        <v>44</v>
      </c>
      <c r="U3" s="23">
        <v>28.076319285110493</v>
      </c>
      <c r="V3" s="23" t="s">
        <v>62</v>
      </c>
    </row>
    <row r="4" spans="1:22" x14ac:dyDescent="0.25">
      <c r="A4" s="23">
        <v>7</v>
      </c>
      <c r="B4" s="23" t="s">
        <v>21</v>
      </c>
      <c r="C4" s="23" t="s">
        <v>22</v>
      </c>
      <c r="D4" s="23" t="s">
        <v>78</v>
      </c>
      <c r="E4" s="24">
        <v>1.75</v>
      </c>
      <c r="F4" s="23">
        <v>55</v>
      </c>
      <c r="G4" s="23" t="s">
        <v>54</v>
      </c>
      <c r="H4" s="23" t="s">
        <v>25</v>
      </c>
      <c r="I4" s="23">
        <v>23</v>
      </c>
      <c r="J4" s="23" t="s">
        <v>28</v>
      </c>
      <c r="K4" s="23" t="s">
        <v>27</v>
      </c>
      <c r="L4" s="23" t="s">
        <v>79</v>
      </c>
      <c r="M4" s="23" t="s">
        <v>80</v>
      </c>
      <c r="N4" s="25">
        <v>43504</v>
      </c>
      <c r="O4" s="23" t="s">
        <v>81</v>
      </c>
      <c r="P4" s="23" t="s">
        <v>30</v>
      </c>
      <c r="Q4" s="23" t="s">
        <v>33</v>
      </c>
      <c r="R4" s="23" t="s">
        <v>37</v>
      </c>
      <c r="S4" s="23" t="s">
        <v>42</v>
      </c>
      <c r="T4" s="27" t="s">
        <v>44</v>
      </c>
      <c r="U4" s="23">
        <v>17.959183673469386</v>
      </c>
      <c r="V4" s="23" t="s">
        <v>82</v>
      </c>
    </row>
    <row r="5" spans="1:22" x14ac:dyDescent="0.25">
      <c r="A5" s="23">
        <v>8</v>
      </c>
      <c r="B5" s="23" t="s">
        <v>20</v>
      </c>
      <c r="C5" s="23" t="s">
        <v>23</v>
      </c>
      <c r="D5" s="23" t="s">
        <v>83</v>
      </c>
      <c r="E5" s="24">
        <v>1.81</v>
      </c>
      <c r="F5" s="23">
        <v>91</v>
      </c>
      <c r="G5" s="23" t="s">
        <v>24</v>
      </c>
      <c r="H5" s="23" t="s">
        <v>25</v>
      </c>
      <c r="I5" s="23">
        <v>0</v>
      </c>
      <c r="J5" s="23" t="s">
        <v>28</v>
      </c>
      <c r="K5" s="23" t="s">
        <v>27</v>
      </c>
      <c r="L5" s="23" t="s">
        <v>84</v>
      </c>
      <c r="M5" s="23" t="s">
        <v>85</v>
      </c>
      <c r="N5" s="23" t="s">
        <v>86</v>
      </c>
      <c r="O5" s="25">
        <v>43561</v>
      </c>
      <c r="P5" s="23" t="s">
        <v>31</v>
      </c>
      <c r="Q5" s="23" t="s">
        <v>32</v>
      </c>
      <c r="R5" s="23" t="s">
        <v>35</v>
      </c>
      <c r="S5" s="23" t="s">
        <v>42</v>
      </c>
      <c r="T5" s="27" t="s">
        <v>27</v>
      </c>
      <c r="U5" s="23">
        <v>27.776929886145112</v>
      </c>
      <c r="V5" s="23" t="s">
        <v>62</v>
      </c>
    </row>
    <row r="6" spans="1:22" x14ac:dyDescent="0.25">
      <c r="A6" s="23">
        <v>12</v>
      </c>
      <c r="B6" s="23" t="s">
        <v>20</v>
      </c>
      <c r="C6" s="23" t="s">
        <v>23</v>
      </c>
      <c r="D6" s="23" t="s">
        <v>95</v>
      </c>
      <c r="E6" s="26">
        <v>1.7</v>
      </c>
      <c r="F6" s="23">
        <v>80</v>
      </c>
      <c r="G6" s="23" t="s">
        <v>25</v>
      </c>
      <c r="H6" s="23" t="s">
        <v>24</v>
      </c>
      <c r="I6" s="23">
        <v>1</v>
      </c>
      <c r="J6" s="23" t="s">
        <v>27</v>
      </c>
      <c r="K6" s="23" t="s">
        <v>27</v>
      </c>
      <c r="L6" s="23" t="s">
        <v>96</v>
      </c>
      <c r="M6" s="23" t="s">
        <v>92</v>
      </c>
      <c r="N6" s="25">
        <v>43800</v>
      </c>
      <c r="O6" s="23" t="s">
        <v>97</v>
      </c>
      <c r="P6" s="23" t="s">
        <v>30</v>
      </c>
      <c r="Q6" s="23" t="s">
        <v>33</v>
      </c>
      <c r="R6" s="23" t="s">
        <v>34</v>
      </c>
      <c r="S6" s="23" t="s">
        <v>38</v>
      </c>
      <c r="T6" s="27" t="s">
        <v>27</v>
      </c>
      <c r="U6" s="23">
        <v>27.681660899653981</v>
      </c>
      <c r="V6" s="23" t="s">
        <v>62</v>
      </c>
    </row>
    <row r="7" spans="1:22" x14ac:dyDescent="0.25">
      <c r="A7" s="23">
        <v>17</v>
      </c>
      <c r="B7" s="23" t="s">
        <v>20</v>
      </c>
      <c r="C7" s="23" t="s">
        <v>23</v>
      </c>
      <c r="D7" s="25" t="s">
        <v>123</v>
      </c>
      <c r="E7" s="24">
        <v>1.72</v>
      </c>
      <c r="F7" s="23">
        <v>78</v>
      </c>
      <c r="G7" s="23" t="s">
        <v>24</v>
      </c>
      <c r="H7" s="23" t="s">
        <v>25</v>
      </c>
      <c r="I7" s="23">
        <v>0</v>
      </c>
      <c r="J7" s="23" t="s">
        <v>28</v>
      </c>
      <c r="K7" s="23" t="s">
        <v>27</v>
      </c>
      <c r="L7" s="23" t="s">
        <v>108</v>
      </c>
      <c r="M7" s="23" t="s">
        <v>109</v>
      </c>
      <c r="N7" s="25">
        <v>43556</v>
      </c>
      <c r="O7" s="23" t="s">
        <v>110</v>
      </c>
      <c r="P7" s="23" t="s">
        <v>29</v>
      </c>
      <c r="Q7" s="23" t="s">
        <v>32</v>
      </c>
      <c r="R7" s="23" t="s">
        <v>36</v>
      </c>
      <c r="S7" s="23" t="s">
        <v>38</v>
      </c>
      <c r="T7" s="27" t="s">
        <v>27</v>
      </c>
      <c r="U7" s="23">
        <v>26.365603028664147</v>
      </c>
      <c r="V7" s="23" t="s">
        <v>62</v>
      </c>
    </row>
    <row r="8" spans="1:22" x14ac:dyDescent="0.25">
      <c r="A8" s="23">
        <v>19</v>
      </c>
      <c r="B8" s="23" t="s">
        <v>20</v>
      </c>
      <c r="C8" s="23" t="s">
        <v>23</v>
      </c>
      <c r="D8" s="25" t="s">
        <v>125</v>
      </c>
      <c r="E8" s="24">
        <v>1.62</v>
      </c>
      <c r="F8" s="23">
        <v>78</v>
      </c>
      <c r="G8" s="23" t="s">
        <v>25</v>
      </c>
      <c r="H8" s="23" t="s">
        <v>25</v>
      </c>
      <c r="I8" s="23">
        <v>20</v>
      </c>
      <c r="J8" s="23" t="s">
        <v>28</v>
      </c>
      <c r="K8" s="23" t="s">
        <v>27</v>
      </c>
      <c r="L8" s="23" t="s">
        <v>113</v>
      </c>
      <c r="M8" s="23" t="s">
        <v>61</v>
      </c>
      <c r="N8" s="23" t="s">
        <v>114</v>
      </c>
      <c r="O8" s="23" t="s">
        <v>115</v>
      </c>
      <c r="P8" s="23" t="s">
        <v>30</v>
      </c>
      <c r="Q8" s="23" t="s">
        <v>33</v>
      </c>
      <c r="R8" s="23" t="s">
        <v>37</v>
      </c>
      <c r="S8" s="23" t="s">
        <v>38</v>
      </c>
      <c r="T8" s="27" t="s">
        <v>44</v>
      </c>
      <c r="U8" s="23">
        <v>29.721079103795148</v>
      </c>
      <c r="V8" s="23" t="s">
        <v>62</v>
      </c>
    </row>
    <row r="9" spans="1:22" x14ac:dyDescent="0.25">
      <c r="A9" s="23">
        <v>26</v>
      </c>
      <c r="B9" s="23" t="s">
        <v>20</v>
      </c>
      <c r="C9" s="23" t="s">
        <v>22</v>
      </c>
      <c r="D9" s="25">
        <v>19728</v>
      </c>
      <c r="E9" s="24">
        <v>1.86</v>
      </c>
      <c r="F9" s="23">
        <v>62</v>
      </c>
      <c r="G9" s="23" t="s">
        <v>54</v>
      </c>
      <c r="H9" s="23" t="s">
        <v>24</v>
      </c>
      <c r="I9" s="23">
        <v>1</v>
      </c>
      <c r="J9" s="23" t="s">
        <v>28</v>
      </c>
      <c r="K9" s="23" t="s">
        <v>27</v>
      </c>
      <c r="L9" s="23" t="s">
        <v>60</v>
      </c>
      <c r="M9" s="23" t="s">
        <v>87</v>
      </c>
      <c r="N9" s="25">
        <v>43740</v>
      </c>
      <c r="O9" s="25">
        <v>43741</v>
      </c>
      <c r="P9" s="23" t="s">
        <v>31</v>
      </c>
      <c r="Q9" s="23" t="s">
        <v>33</v>
      </c>
      <c r="R9" s="23" t="s">
        <v>35</v>
      </c>
      <c r="S9" s="23" t="s">
        <v>40</v>
      </c>
      <c r="T9" s="27" t="s">
        <v>45</v>
      </c>
      <c r="U9" s="23">
        <v>17.921146953405014</v>
      </c>
      <c r="V9" s="23" t="s">
        <v>82</v>
      </c>
    </row>
    <row r="10" spans="1:22" x14ac:dyDescent="0.25">
      <c r="A10" s="23">
        <v>27</v>
      </c>
      <c r="B10" s="23" t="s">
        <v>20</v>
      </c>
      <c r="C10" s="23" t="s">
        <v>22</v>
      </c>
      <c r="D10" s="25">
        <v>14614</v>
      </c>
      <c r="E10" s="24">
        <v>1.66</v>
      </c>
      <c r="F10" s="23">
        <v>69</v>
      </c>
      <c r="G10" s="23" t="s">
        <v>54</v>
      </c>
      <c r="H10" s="23" t="s">
        <v>24</v>
      </c>
      <c r="I10" s="23">
        <v>19</v>
      </c>
      <c r="J10" s="23" t="s">
        <v>28</v>
      </c>
      <c r="K10" s="23" t="s">
        <v>27</v>
      </c>
      <c r="L10" s="23" t="s">
        <v>60</v>
      </c>
      <c r="M10" s="23" t="s">
        <v>87</v>
      </c>
      <c r="N10" s="25">
        <v>43740</v>
      </c>
      <c r="O10" s="25">
        <v>43741</v>
      </c>
      <c r="P10" s="23" t="s">
        <v>31</v>
      </c>
      <c r="Q10" s="23" t="s">
        <v>33</v>
      </c>
      <c r="R10" s="23" t="s">
        <v>35</v>
      </c>
      <c r="S10" s="23" t="s">
        <v>41</v>
      </c>
      <c r="T10" s="27" t="s">
        <v>44</v>
      </c>
      <c r="U10" s="23">
        <v>25.039918710988534</v>
      </c>
      <c r="V10" s="23" t="s">
        <v>62</v>
      </c>
    </row>
    <row r="11" spans="1:22" x14ac:dyDescent="0.25">
      <c r="A11" s="23">
        <v>28</v>
      </c>
      <c r="B11" s="23" t="s">
        <v>20</v>
      </c>
      <c r="C11" s="23" t="s">
        <v>22</v>
      </c>
      <c r="D11" s="25">
        <v>14705</v>
      </c>
      <c r="E11" s="24">
        <v>1.66</v>
      </c>
      <c r="F11" s="23">
        <v>80</v>
      </c>
      <c r="G11" s="23" t="s">
        <v>54</v>
      </c>
      <c r="H11" s="23" t="s">
        <v>24</v>
      </c>
      <c r="I11" s="23">
        <v>9</v>
      </c>
      <c r="J11" s="23" t="s">
        <v>28</v>
      </c>
      <c r="K11" s="23" t="s">
        <v>27</v>
      </c>
      <c r="L11" s="23" t="s">
        <v>111</v>
      </c>
      <c r="M11" s="23" t="s">
        <v>145</v>
      </c>
      <c r="N11" s="25">
        <v>43745</v>
      </c>
      <c r="O11" s="25">
        <v>43806</v>
      </c>
      <c r="P11" s="23" t="s">
        <v>29</v>
      </c>
      <c r="Q11" s="23" t="s">
        <v>33</v>
      </c>
      <c r="R11" s="23" t="s">
        <v>37</v>
      </c>
      <c r="S11" s="23" t="s">
        <v>42</v>
      </c>
      <c r="T11" s="27" t="s">
        <v>44</v>
      </c>
      <c r="U11" s="23">
        <v>29.031789809841779</v>
      </c>
      <c r="V11" s="23" t="s">
        <v>62</v>
      </c>
    </row>
    <row r="12" spans="1:22" x14ac:dyDescent="0.25">
      <c r="A12" s="23">
        <v>32</v>
      </c>
      <c r="B12" s="23" t="s">
        <v>21</v>
      </c>
      <c r="C12" s="23" t="s">
        <v>23</v>
      </c>
      <c r="D12" s="23" t="s">
        <v>154</v>
      </c>
      <c r="E12" s="24">
        <v>1.78</v>
      </c>
      <c r="F12" s="23">
        <v>89</v>
      </c>
      <c r="G12" s="23" t="s">
        <v>24</v>
      </c>
      <c r="H12" s="23" t="s">
        <v>25</v>
      </c>
      <c r="I12" s="23">
        <v>40</v>
      </c>
      <c r="J12" s="23" t="s">
        <v>28</v>
      </c>
      <c r="K12" s="23" t="s">
        <v>27</v>
      </c>
      <c r="L12" s="23" t="s">
        <v>60</v>
      </c>
      <c r="M12" s="23" t="s">
        <v>61</v>
      </c>
      <c r="N12" s="25">
        <v>43466</v>
      </c>
      <c r="O12" s="25">
        <v>43525</v>
      </c>
      <c r="P12" s="23" t="s">
        <v>31</v>
      </c>
      <c r="Q12" s="23" t="s">
        <v>33</v>
      </c>
      <c r="R12" s="23" t="s">
        <v>36</v>
      </c>
      <c r="S12" s="23" t="s">
        <v>42</v>
      </c>
      <c r="T12" s="27" t="s">
        <v>45</v>
      </c>
      <c r="U12" s="23">
        <v>28.089887640449437</v>
      </c>
      <c r="V12" s="23" t="s">
        <v>62</v>
      </c>
    </row>
    <row r="13" spans="1:22" x14ac:dyDescent="0.25">
      <c r="A13" s="23">
        <v>33</v>
      </c>
      <c r="B13" s="23" t="s">
        <v>21</v>
      </c>
      <c r="C13" s="23" t="s">
        <v>23</v>
      </c>
      <c r="D13" s="25">
        <v>33884</v>
      </c>
      <c r="E13" s="24">
        <v>1.78</v>
      </c>
      <c r="F13" s="23">
        <v>54</v>
      </c>
      <c r="G13" s="23" t="s">
        <v>24</v>
      </c>
      <c r="H13" s="23" t="s">
        <v>25</v>
      </c>
      <c r="I13" s="23">
        <v>40</v>
      </c>
      <c r="J13" s="23" t="s">
        <v>27</v>
      </c>
      <c r="K13" s="23" t="s">
        <v>27</v>
      </c>
      <c r="L13" s="23" t="s">
        <v>60</v>
      </c>
      <c r="M13" s="23" t="s">
        <v>61</v>
      </c>
      <c r="N13" s="25">
        <v>43745</v>
      </c>
      <c r="O13" s="25">
        <v>43525</v>
      </c>
      <c r="P13" s="23" t="s">
        <v>31</v>
      </c>
      <c r="Q13" s="23" t="s">
        <v>33</v>
      </c>
      <c r="R13" s="23" t="s">
        <v>36</v>
      </c>
      <c r="S13" s="23" t="s">
        <v>42</v>
      </c>
      <c r="T13" s="27" t="s">
        <v>44</v>
      </c>
      <c r="U13" s="23">
        <v>17.043302613306402</v>
      </c>
      <c r="V13" s="23" t="s">
        <v>82</v>
      </c>
    </row>
    <row r="14" spans="1:22" x14ac:dyDescent="0.25">
      <c r="A14" s="23">
        <v>34</v>
      </c>
      <c r="B14" s="23" t="s">
        <v>21</v>
      </c>
      <c r="C14" s="23" t="s">
        <v>22</v>
      </c>
      <c r="D14" s="25">
        <v>33884</v>
      </c>
      <c r="E14" s="24">
        <v>1.78</v>
      </c>
      <c r="F14" s="23">
        <v>54</v>
      </c>
      <c r="G14" s="23" t="s">
        <v>54</v>
      </c>
      <c r="H14" s="23" t="s">
        <v>25</v>
      </c>
      <c r="I14" s="23">
        <v>3</v>
      </c>
      <c r="J14" s="23" t="s">
        <v>28</v>
      </c>
      <c r="K14" s="23" t="s">
        <v>27</v>
      </c>
      <c r="L14" s="23" t="s">
        <v>155</v>
      </c>
      <c r="M14" s="23" t="s">
        <v>156</v>
      </c>
      <c r="N14" s="25">
        <v>43745</v>
      </c>
      <c r="O14" s="23" t="s">
        <v>157</v>
      </c>
      <c r="P14" s="23" t="s">
        <v>31</v>
      </c>
      <c r="Q14" s="23" t="s">
        <v>32</v>
      </c>
      <c r="R14" s="23" t="s">
        <v>35</v>
      </c>
      <c r="S14" s="23" t="s">
        <v>42</v>
      </c>
      <c r="T14" s="27" t="s">
        <v>44</v>
      </c>
      <c r="U14" s="23">
        <v>17.043302613306402</v>
      </c>
      <c r="V14" s="23" t="s">
        <v>82</v>
      </c>
    </row>
    <row r="15" spans="1:22" x14ac:dyDescent="0.25">
      <c r="A15" s="23">
        <v>38</v>
      </c>
      <c r="B15" s="23" t="s">
        <v>20</v>
      </c>
      <c r="C15" s="23" t="s">
        <v>23</v>
      </c>
      <c r="D15" s="23" t="s">
        <v>164</v>
      </c>
      <c r="E15" s="24">
        <v>1.78</v>
      </c>
      <c r="F15" s="23">
        <v>90</v>
      </c>
      <c r="G15" s="23" t="s">
        <v>25</v>
      </c>
      <c r="H15" s="23" t="s">
        <v>24</v>
      </c>
      <c r="I15" s="23">
        <v>40</v>
      </c>
      <c r="J15" s="23" t="s">
        <v>28</v>
      </c>
      <c r="K15" s="23" t="s">
        <v>27</v>
      </c>
      <c r="L15" s="23" t="s">
        <v>55</v>
      </c>
      <c r="M15" s="23" t="s">
        <v>127</v>
      </c>
      <c r="N15" s="23" t="s">
        <v>165</v>
      </c>
      <c r="O15" s="25">
        <v>43473</v>
      </c>
      <c r="P15" s="23" t="s">
        <v>29</v>
      </c>
      <c r="Q15" s="23" t="s">
        <v>33</v>
      </c>
      <c r="R15" s="23" t="s">
        <v>37</v>
      </c>
      <c r="S15" s="23" t="s">
        <v>38</v>
      </c>
      <c r="T15" s="27" t="s">
        <v>27</v>
      </c>
      <c r="U15" s="23">
        <v>28.405504355510669</v>
      </c>
      <c r="V15" s="23" t="s">
        <v>62</v>
      </c>
    </row>
    <row r="16" spans="1:22" x14ac:dyDescent="0.25">
      <c r="A16" s="23">
        <v>40</v>
      </c>
      <c r="B16" s="23" t="s">
        <v>21</v>
      </c>
      <c r="C16" s="23" t="s">
        <v>22</v>
      </c>
      <c r="D16" s="23" t="s">
        <v>170</v>
      </c>
      <c r="E16" s="24">
        <v>1.78</v>
      </c>
      <c r="F16" s="23">
        <v>87</v>
      </c>
      <c r="G16" s="23" t="s">
        <v>54</v>
      </c>
      <c r="H16" s="23" t="s">
        <v>24</v>
      </c>
      <c r="I16" s="23">
        <v>0</v>
      </c>
      <c r="J16" s="23" t="s">
        <v>28</v>
      </c>
      <c r="K16" s="23" t="s">
        <v>27</v>
      </c>
      <c r="L16" s="23" t="s">
        <v>155</v>
      </c>
      <c r="M16" s="23" t="s">
        <v>167</v>
      </c>
      <c r="N16" s="23" t="s">
        <v>171</v>
      </c>
      <c r="O16" s="23" t="s">
        <v>172</v>
      </c>
      <c r="P16" s="23" t="s">
        <v>31</v>
      </c>
      <c r="Q16" s="23" t="s">
        <v>32</v>
      </c>
      <c r="R16" s="23" t="s">
        <v>34</v>
      </c>
      <c r="S16" s="23" t="s">
        <v>42</v>
      </c>
      <c r="T16" s="27" t="s">
        <v>27</v>
      </c>
      <c r="U16" s="23">
        <v>27.458654210326976</v>
      </c>
      <c r="V16" s="23" t="s">
        <v>62</v>
      </c>
    </row>
    <row r="17" spans="1:25" x14ac:dyDescent="0.25">
      <c r="A17" s="23">
        <v>43</v>
      </c>
      <c r="B17" s="23" t="s">
        <v>21</v>
      </c>
      <c r="C17" s="23" t="s">
        <v>23</v>
      </c>
      <c r="D17" s="23" t="s">
        <v>181</v>
      </c>
      <c r="E17" s="24">
        <v>1.96</v>
      </c>
      <c r="F17" s="23">
        <v>65</v>
      </c>
      <c r="G17" s="23" t="s">
        <v>25</v>
      </c>
      <c r="H17" s="23" t="s">
        <v>24</v>
      </c>
      <c r="I17" s="23">
        <v>15</v>
      </c>
      <c r="J17" s="23" t="s">
        <v>28</v>
      </c>
      <c r="K17" s="23" t="s">
        <v>27</v>
      </c>
      <c r="L17" s="23" t="s">
        <v>71</v>
      </c>
      <c r="M17" s="23" t="s">
        <v>127</v>
      </c>
      <c r="N17" s="25">
        <v>43477</v>
      </c>
      <c r="O17" s="25">
        <v>43508</v>
      </c>
      <c r="P17" s="23" t="s">
        <v>29</v>
      </c>
      <c r="Q17" s="23" t="s">
        <v>33</v>
      </c>
      <c r="R17" s="23" t="s">
        <v>37</v>
      </c>
      <c r="S17" s="23" t="s">
        <v>38</v>
      </c>
      <c r="T17" s="27" t="s">
        <v>27</v>
      </c>
      <c r="U17" s="23">
        <v>16.92003331945023</v>
      </c>
      <c r="V17" s="23" t="s">
        <v>82</v>
      </c>
    </row>
    <row r="18" spans="1:25" x14ac:dyDescent="0.25">
      <c r="A18" s="23">
        <v>44</v>
      </c>
      <c r="B18" s="23" t="s">
        <v>21</v>
      </c>
      <c r="C18" s="23" t="s">
        <v>23</v>
      </c>
      <c r="D18" s="23" t="s">
        <v>182</v>
      </c>
      <c r="E18" s="24">
        <v>1.61</v>
      </c>
      <c r="F18" s="23">
        <v>65</v>
      </c>
      <c r="G18" s="23" t="s">
        <v>25</v>
      </c>
      <c r="H18" s="23" t="s">
        <v>24</v>
      </c>
      <c r="I18" s="23">
        <v>13</v>
      </c>
      <c r="J18" s="23" t="s">
        <v>27</v>
      </c>
      <c r="K18" s="23" t="s">
        <v>27</v>
      </c>
      <c r="L18" s="23" t="s">
        <v>71</v>
      </c>
      <c r="M18" s="23" t="s">
        <v>183</v>
      </c>
      <c r="N18" s="25">
        <v>43498</v>
      </c>
      <c r="O18" s="25">
        <v>43679</v>
      </c>
      <c r="P18" s="23" t="s">
        <v>30</v>
      </c>
      <c r="Q18" s="23" t="s">
        <v>33</v>
      </c>
      <c r="R18" s="23" t="s">
        <v>34</v>
      </c>
      <c r="S18" s="23" t="s">
        <v>38</v>
      </c>
      <c r="T18" s="27" t="s">
        <v>27</v>
      </c>
      <c r="U18" s="23">
        <v>25.076193048107708</v>
      </c>
      <c r="V18" s="23" t="s">
        <v>62</v>
      </c>
    </row>
    <row r="19" spans="1:25" x14ac:dyDescent="0.25">
      <c r="A19" s="23">
        <v>45</v>
      </c>
      <c r="B19" s="23" t="s">
        <v>21</v>
      </c>
      <c r="C19" s="23" t="s">
        <v>23</v>
      </c>
      <c r="D19" s="25">
        <v>34824</v>
      </c>
      <c r="E19" s="24">
        <v>1.61</v>
      </c>
      <c r="F19" s="23">
        <v>76</v>
      </c>
      <c r="G19" s="23" t="s">
        <v>25</v>
      </c>
      <c r="H19" s="23" t="s">
        <v>24</v>
      </c>
      <c r="I19" s="23">
        <v>10</v>
      </c>
      <c r="J19" s="23" t="s">
        <v>27</v>
      </c>
      <c r="K19" s="23" t="s">
        <v>27</v>
      </c>
      <c r="L19" s="23" t="s">
        <v>84</v>
      </c>
      <c r="M19" s="23" t="s">
        <v>184</v>
      </c>
      <c r="N19" s="25">
        <v>43498</v>
      </c>
      <c r="O19" s="25">
        <v>43504</v>
      </c>
      <c r="P19" s="23" t="s">
        <v>30</v>
      </c>
      <c r="Q19" s="23" t="s">
        <v>33</v>
      </c>
      <c r="R19" s="23" t="s">
        <v>34</v>
      </c>
      <c r="S19" s="23" t="s">
        <v>38</v>
      </c>
      <c r="T19" s="27" t="s">
        <v>27</v>
      </c>
      <c r="U19" s="23">
        <v>29.319856487018246</v>
      </c>
      <c r="V19" s="23" t="s">
        <v>62</v>
      </c>
    </row>
    <row r="20" spans="1:25" x14ac:dyDescent="0.25">
      <c r="A20" s="23">
        <v>46</v>
      </c>
      <c r="B20" s="23" t="s">
        <v>20</v>
      </c>
      <c r="C20" s="23" t="s">
        <v>22</v>
      </c>
      <c r="D20" s="25">
        <v>34490</v>
      </c>
      <c r="E20" s="24">
        <v>1.71</v>
      </c>
      <c r="F20" s="23">
        <v>76</v>
      </c>
      <c r="G20" s="23" t="s">
        <v>54</v>
      </c>
      <c r="H20" s="23" t="s">
        <v>24</v>
      </c>
      <c r="I20" s="23">
        <v>10</v>
      </c>
      <c r="J20" s="23" t="s">
        <v>27</v>
      </c>
      <c r="K20" s="23" t="s">
        <v>27</v>
      </c>
      <c r="L20" s="23" t="s">
        <v>84</v>
      </c>
      <c r="M20" s="23" t="s">
        <v>184</v>
      </c>
      <c r="N20" s="25">
        <v>43526</v>
      </c>
      <c r="O20" s="25">
        <v>43679</v>
      </c>
      <c r="P20" s="23" t="s">
        <v>30</v>
      </c>
      <c r="Q20" s="23" t="s">
        <v>33</v>
      </c>
      <c r="R20" s="23" t="s">
        <v>34</v>
      </c>
      <c r="S20" s="23" t="s">
        <v>42</v>
      </c>
      <c r="T20" s="27" t="s">
        <v>27</v>
      </c>
      <c r="U20" s="23">
        <v>25.990903183885642</v>
      </c>
      <c r="V20" s="23" t="s">
        <v>62</v>
      </c>
      <c r="X20" s="33" t="s">
        <v>47</v>
      </c>
      <c r="Y20" s="31" t="s">
        <v>255</v>
      </c>
    </row>
    <row r="21" spans="1:25" x14ac:dyDescent="0.25">
      <c r="A21" s="23">
        <v>47</v>
      </c>
      <c r="B21" s="23" t="s">
        <v>20</v>
      </c>
      <c r="C21" s="23" t="s">
        <v>22</v>
      </c>
      <c r="D21" s="25">
        <v>33090</v>
      </c>
      <c r="E21" s="24">
        <v>1.71</v>
      </c>
      <c r="F21" s="23">
        <v>86</v>
      </c>
      <c r="G21" s="23" t="s">
        <v>54</v>
      </c>
      <c r="H21" s="23" t="s">
        <v>25</v>
      </c>
      <c r="I21" s="23">
        <v>19</v>
      </c>
      <c r="J21" s="23" t="s">
        <v>28</v>
      </c>
      <c r="K21" s="23" t="s">
        <v>27</v>
      </c>
      <c r="L21" s="23" t="s">
        <v>84</v>
      </c>
      <c r="M21" s="23" t="s">
        <v>185</v>
      </c>
      <c r="N21" s="25">
        <v>43526</v>
      </c>
      <c r="O21" s="25">
        <v>43740</v>
      </c>
      <c r="P21" s="23" t="s">
        <v>31</v>
      </c>
      <c r="Q21" s="23" t="s">
        <v>32</v>
      </c>
      <c r="R21" s="23" t="s">
        <v>36</v>
      </c>
      <c r="S21" s="23" t="s">
        <v>42</v>
      </c>
      <c r="T21" s="27" t="s">
        <v>44</v>
      </c>
      <c r="U21" s="23">
        <v>29.410758865975858</v>
      </c>
      <c r="V21" s="23" t="s">
        <v>62</v>
      </c>
      <c r="X21" s="32" t="s">
        <v>62</v>
      </c>
      <c r="Y21" s="2">
        <f>COUNTIF(V1:V42,V21)</f>
        <v>31</v>
      </c>
    </row>
    <row r="22" spans="1:25" x14ac:dyDescent="0.25">
      <c r="A22" s="23">
        <v>55</v>
      </c>
      <c r="B22" s="23" t="s">
        <v>21</v>
      </c>
      <c r="C22" s="23" t="s">
        <v>22</v>
      </c>
      <c r="D22" s="23" t="s">
        <v>202</v>
      </c>
      <c r="E22" s="24">
        <v>1.92</v>
      </c>
      <c r="F22" s="23">
        <v>110</v>
      </c>
      <c r="G22" s="23" t="s">
        <v>54</v>
      </c>
      <c r="H22" s="23" t="s">
        <v>25</v>
      </c>
      <c r="I22" s="23">
        <v>30</v>
      </c>
      <c r="J22" s="23" t="s">
        <v>28</v>
      </c>
      <c r="K22" s="23" t="s">
        <v>27</v>
      </c>
      <c r="L22" s="23" t="s">
        <v>55</v>
      </c>
      <c r="M22" s="23" t="s">
        <v>61</v>
      </c>
      <c r="N22" s="25">
        <v>43586</v>
      </c>
      <c r="O22" s="25">
        <v>43800</v>
      </c>
      <c r="P22" s="23" t="s">
        <v>30</v>
      </c>
      <c r="Q22" s="23" t="s">
        <v>33</v>
      </c>
      <c r="R22" s="23" t="s">
        <v>37</v>
      </c>
      <c r="S22" s="23" t="s">
        <v>38</v>
      </c>
      <c r="T22" s="27" t="s">
        <v>44</v>
      </c>
      <c r="U22" s="23">
        <v>29.839409722222221</v>
      </c>
      <c r="V22" s="23" t="s">
        <v>62</v>
      </c>
      <c r="X22" s="34" t="s">
        <v>82</v>
      </c>
      <c r="Y22" s="4">
        <f>COUNTIF(V1:V42,V31)</f>
        <v>10</v>
      </c>
    </row>
    <row r="23" spans="1:25" x14ac:dyDescent="0.25">
      <c r="A23" s="23">
        <v>62</v>
      </c>
      <c r="B23" s="23" t="s">
        <v>20</v>
      </c>
      <c r="C23" s="23" t="s">
        <v>22</v>
      </c>
      <c r="D23" s="25">
        <v>37234</v>
      </c>
      <c r="E23" s="24">
        <v>1.87</v>
      </c>
      <c r="F23" s="23">
        <v>91</v>
      </c>
      <c r="G23" s="23" t="s">
        <v>54</v>
      </c>
      <c r="H23" s="23" t="s">
        <v>25</v>
      </c>
      <c r="I23" s="23">
        <v>20</v>
      </c>
      <c r="J23" s="23" t="s">
        <v>28</v>
      </c>
      <c r="K23" s="23" t="s">
        <v>27</v>
      </c>
      <c r="L23" s="23" t="s">
        <v>98</v>
      </c>
      <c r="M23" s="23" t="s">
        <v>145</v>
      </c>
      <c r="N23" s="23" t="s">
        <v>213</v>
      </c>
      <c r="O23" s="23" t="s">
        <v>68</v>
      </c>
      <c r="P23" s="23" t="s">
        <v>30</v>
      </c>
      <c r="Q23" s="23" t="s">
        <v>33</v>
      </c>
      <c r="R23" s="23" t="s">
        <v>34</v>
      </c>
      <c r="S23" s="23" t="s">
        <v>38</v>
      </c>
      <c r="T23" s="27" t="s">
        <v>27</v>
      </c>
      <c r="U23" s="23">
        <v>26.023048986244955</v>
      </c>
      <c r="V23" s="23" t="s">
        <v>62</v>
      </c>
    </row>
    <row r="24" spans="1:25" x14ac:dyDescent="0.25">
      <c r="A24" s="23">
        <v>63</v>
      </c>
      <c r="B24" s="23" t="s">
        <v>20</v>
      </c>
      <c r="C24" s="23" t="s">
        <v>22</v>
      </c>
      <c r="D24" s="25">
        <v>36138</v>
      </c>
      <c r="E24" s="24">
        <v>1.87</v>
      </c>
      <c r="F24" s="23">
        <v>91</v>
      </c>
      <c r="G24" s="23" t="s">
        <v>54</v>
      </c>
      <c r="H24" s="23" t="s">
        <v>25</v>
      </c>
      <c r="I24" s="23">
        <v>20</v>
      </c>
      <c r="J24" s="23" t="s">
        <v>28</v>
      </c>
      <c r="K24" s="23" t="s">
        <v>27</v>
      </c>
      <c r="L24" s="23" t="s">
        <v>98</v>
      </c>
      <c r="M24" s="23" t="s">
        <v>145</v>
      </c>
      <c r="N24" s="23" t="s">
        <v>213</v>
      </c>
      <c r="O24" s="23" t="s">
        <v>68</v>
      </c>
      <c r="P24" s="23" t="s">
        <v>30</v>
      </c>
      <c r="Q24" s="23" t="s">
        <v>33</v>
      </c>
      <c r="R24" s="23" t="s">
        <v>34</v>
      </c>
      <c r="S24" s="23" t="s">
        <v>38</v>
      </c>
      <c r="T24" s="27" t="s">
        <v>44</v>
      </c>
      <c r="U24" s="23">
        <v>26.023048986244955</v>
      </c>
      <c r="V24" s="23" t="s">
        <v>62</v>
      </c>
    </row>
    <row r="25" spans="1:25" x14ac:dyDescent="0.25">
      <c r="A25" s="23">
        <v>64</v>
      </c>
      <c r="B25" s="23" t="s">
        <v>20</v>
      </c>
      <c r="C25" s="23" t="s">
        <v>22</v>
      </c>
      <c r="D25" s="25">
        <v>36138</v>
      </c>
      <c r="E25" s="24">
        <v>1.87</v>
      </c>
      <c r="F25" s="23">
        <v>91</v>
      </c>
      <c r="G25" s="23" t="s">
        <v>54</v>
      </c>
      <c r="H25" s="23" t="s">
        <v>25</v>
      </c>
      <c r="I25" s="23">
        <v>20</v>
      </c>
      <c r="J25" s="23" t="s">
        <v>28</v>
      </c>
      <c r="K25" s="23" t="s">
        <v>27</v>
      </c>
      <c r="L25" s="23" t="s">
        <v>214</v>
      </c>
      <c r="M25" s="23" t="s">
        <v>163</v>
      </c>
      <c r="N25" s="23" t="s">
        <v>213</v>
      </c>
      <c r="O25" s="23" t="s">
        <v>68</v>
      </c>
      <c r="P25" s="23" t="s">
        <v>30</v>
      </c>
      <c r="Q25" s="23" t="s">
        <v>33</v>
      </c>
      <c r="R25" s="23" t="s">
        <v>34</v>
      </c>
      <c r="S25" s="23" t="s">
        <v>38</v>
      </c>
      <c r="T25" s="27" t="s">
        <v>44</v>
      </c>
      <c r="U25" s="23">
        <v>26.023048986244955</v>
      </c>
      <c r="V25" s="23" t="s">
        <v>62</v>
      </c>
    </row>
    <row r="26" spans="1:25" x14ac:dyDescent="0.25">
      <c r="A26" s="23">
        <v>65</v>
      </c>
      <c r="B26" s="23" t="s">
        <v>20</v>
      </c>
      <c r="C26" s="23" t="s">
        <v>23</v>
      </c>
      <c r="D26" s="25">
        <v>36148</v>
      </c>
      <c r="E26" s="24">
        <v>1.87</v>
      </c>
      <c r="F26" s="23">
        <v>91</v>
      </c>
      <c r="G26" s="23" t="s">
        <v>25</v>
      </c>
      <c r="H26" s="23" t="s">
        <v>25</v>
      </c>
      <c r="I26" s="23">
        <v>20</v>
      </c>
      <c r="J26" s="23" t="s">
        <v>28</v>
      </c>
      <c r="K26" s="23" t="s">
        <v>27</v>
      </c>
      <c r="L26" s="23" t="s">
        <v>214</v>
      </c>
      <c r="M26" s="23" t="s">
        <v>163</v>
      </c>
      <c r="N26" s="23" t="s">
        <v>213</v>
      </c>
      <c r="O26" s="23" t="s">
        <v>68</v>
      </c>
      <c r="P26" s="23" t="s">
        <v>30</v>
      </c>
      <c r="Q26" s="23" t="s">
        <v>33</v>
      </c>
      <c r="R26" s="23" t="s">
        <v>34</v>
      </c>
      <c r="S26" s="23" t="s">
        <v>38</v>
      </c>
      <c r="T26" s="27" t="s">
        <v>45</v>
      </c>
      <c r="U26" s="23">
        <v>26.023048986244955</v>
      </c>
      <c r="V26" s="23" t="s">
        <v>62</v>
      </c>
    </row>
    <row r="27" spans="1:25" x14ac:dyDescent="0.25">
      <c r="A27" s="23">
        <v>66</v>
      </c>
      <c r="B27" s="23" t="s">
        <v>20</v>
      </c>
      <c r="C27" s="23" t="s">
        <v>23</v>
      </c>
      <c r="D27" s="23" t="s">
        <v>215</v>
      </c>
      <c r="E27" s="24">
        <v>1.87</v>
      </c>
      <c r="F27" s="23">
        <v>91</v>
      </c>
      <c r="G27" s="23" t="s">
        <v>25</v>
      </c>
      <c r="H27" s="23" t="s">
        <v>25</v>
      </c>
      <c r="I27" s="23">
        <v>20</v>
      </c>
      <c r="J27" s="23" t="s">
        <v>28</v>
      </c>
      <c r="K27" s="23" t="s">
        <v>27</v>
      </c>
      <c r="L27" s="23" t="s">
        <v>214</v>
      </c>
      <c r="M27" s="23" t="s">
        <v>163</v>
      </c>
      <c r="N27" s="23" t="s">
        <v>213</v>
      </c>
      <c r="O27" s="23" t="s">
        <v>68</v>
      </c>
      <c r="P27" s="23" t="s">
        <v>30</v>
      </c>
      <c r="Q27" s="23" t="s">
        <v>32</v>
      </c>
      <c r="R27" s="23" t="s">
        <v>34</v>
      </c>
      <c r="S27" s="23" t="s">
        <v>43</v>
      </c>
      <c r="T27" s="27" t="s">
        <v>45</v>
      </c>
      <c r="U27" s="23">
        <v>26.023048986244955</v>
      </c>
      <c r="V27" s="23" t="s">
        <v>62</v>
      </c>
    </row>
    <row r="28" spans="1:25" x14ac:dyDescent="0.25">
      <c r="A28" s="23">
        <v>67</v>
      </c>
      <c r="B28" s="23" t="s">
        <v>21</v>
      </c>
      <c r="C28" s="23" t="s">
        <v>23</v>
      </c>
      <c r="D28" s="23" t="s">
        <v>215</v>
      </c>
      <c r="E28" s="24">
        <v>1.87</v>
      </c>
      <c r="F28" s="23">
        <v>91</v>
      </c>
      <c r="G28" s="23" t="s">
        <v>25</v>
      </c>
      <c r="H28" s="23" t="s">
        <v>25</v>
      </c>
      <c r="I28" s="23">
        <v>20</v>
      </c>
      <c r="J28" s="23" t="s">
        <v>28</v>
      </c>
      <c r="K28" s="23" t="s">
        <v>27</v>
      </c>
      <c r="L28" s="23" t="s">
        <v>216</v>
      </c>
      <c r="M28" s="23" t="s">
        <v>179</v>
      </c>
      <c r="N28" s="23" t="s">
        <v>213</v>
      </c>
      <c r="O28" s="23" t="s">
        <v>68</v>
      </c>
      <c r="P28" s="23" t="s">
        <v>30</v>
      </c>
      <c r="Q28" s="23" t="s">
        <v>32</v>
      </c>
      <c r="R28" s="23" t="s">
        <v>34</v>
      </c>
      <c r="S28" s="23" t="s">
        <v>43</v>
      </c>
      <c r="T28" s="27" t="s">
        <v>45</v>
      </c>
      <c r="U28" s="23">
        <v>26.023048986244955</v>
      </c>
      <c r="V28" s="23" t="s">
        <v>62</v>
      </c>
    </row>
    <row r="29" spans="1:25" x14ac:dyDescent="0.25">
      <c r="A29" s="23">
        <v>68</v>
      </c>
      <c r="B29" s="23" t="s">
        <v>21</v>
      </c>
      <c r="C29" s="23" t="s">
        <v>23</v>
      </c>
      <c r="D29" s="23" t="s">
        <v>215</v>
      </c>
      <c r="E29" s="24">
        <v>1.87</v>
      </c>
      <c r="F29" s="23">
        <v>91</v>
      </c>
      <c r="G29" s="23" t="s">
        <v>25</v>
      </c>
      <c r="H29" s="23" t="s">
        <v>25</v>
      </c>
      <c r="I29" s="23">
        <v>20</v>
      </c>
      <c r="J29" s="23" t="s">
        <v>28</v>
      </c>
      <c r="K29" s="23" t="s">
        <v>27</v>
      </c>
      <c r="L29" s="23" t="s">
        <v>217</v>
      </c>
      <c r="M29" s="23" t="s">
        <v>179</v>
      </c>
      <c r="N29" s="23" t="s">
        <v>213</v>
      </c>
      <c r="O29" s="23" t="s">
        <v>68</v>
      </c>
      <c r="P29" s="23" t="s">
        <v>30</v>
      </c>
      <c r="Q29" s="23" t="s">
        <v>32</v>
      </c>
      <c r="R29" s="23" t="s">
        <v>34</v>
      </c>
      <c r="S29" s="23" t="s">
        <v>43</v>
      </c>
      <c r="T29" s="27" t="s">
        <v>45</v>
      </c>
      <c r="U29" s="23">
        <v>26.023048986244955</v>
      </c>
      <c r="V29" s="23" t="s">
        <v>62</v>
      </c>
    </row>
    <row r="30" spans="1:25" x14ac:dyDescent="0.25">
      <c r="A30" s="23">
        <v>69</v>
      </c>
      <c r="B30" s="23" t="s">
        <v>21</v>
      </c>
      <c r="C30" s="23" t="s">
        <v>23</v>
      </c>
      <c r="D30" s="23" t="s">
        <v>215</v>
      </c>
      <c r="E30" s="24">
        <v>1.87</v>
      </c>
      <c r="F30" s="23">
        <v>91</v>
      </c>
      <c r="G30" s="23" t="s">
        <v>25</v>
      </c>
      <c r="H30" s="23" t="s">
        <v>24</v>
      </c>
      <c r="I30" s="23">
        <v>20</v>
      </c>
      <c r="J30" s="23" t="s">
        <v>28</v>
      </c>
      <c r="K30" s="23" t="s">
        <v>27</v>
      </c>
      <c r="L30" s="23" t="s">
        <v>141</v>
      </c>
      <c r="M30" s="23" t="s">
        <v>179</v>
      </c>
      <c r="N30" s="23" t="s">
        <v>218</v>
      </c>
      <c r="O30" s="23" t="s">
        <v>76</v>
      </c>
      <c r="P30" s="23" t="s">
        <v>30</v>
      </c>
      <c r="Q30" s="23" t="s">
        <v>32</v>
      </c>
      <c r="R30" s="23" t="s">
        <v>35</v>
      </c>
      <c r="S30" s="23" t="s">
        <v>40</v>
      </c>
      <c r="T30" s="27" t="s">
        <v>45</v>
      </c>
      <c r="U30" s="23">
        <v>26.023048986244955</v>
      </c>
      <c r="V30" s="23" t="s">
        <v>62</v>
      </c>
    </row>
    <row r="31" spans="1:25" x14ac:dyDescent="0.25">
      <c r="A31" s="23">
        <v>70</v>
      </c>
      <c r="B31" s="23" t="s">
        <v>21</v>
      </c>
      <c r="C31" s="23" t="s">
        <v>23</v>
      </c>
      <c r="D31" s="23" t="s">
        <v>219</v>
      </c>
      <c r="E31" s="24">
        <v>1.87</v>
      </c>
      <c r="F31" s="23">
        <v>61</v>
      </c>
      <c r="G31" s="23" t="s">
        <v>25</v>
      </c>
      <c r="H31" s="23" t="s">
        <v>24</v>
      </c>
      <c r="I31" s="23">
        <v>20</v>
      </c>
      <c r="J31" s="23" t="s">
        <v>28</v>
      </c>
      <c r="K31" s="23" t="s">
        <v>27</v>
      </c>
      <c r="L31" s="23" t="s">
        <v>220</v>
      </c>
      <c r="M31" s="23" t="s">
        <v>179</v>
      </c>
      <c r="N31" s="23" t="s">
        <v>218</v>
      </c>
      <c r="O31" s="23" t="s">
        <v>76</v>
      </c>
      <c r="P31" s="23" t="s">
        <v>30</v>
      </c>
      <c r="Q31" s="23" t="s">
        <v>32</v>
      </c>
      <c r="R31" s="23" t="s">
        <v>35</v>
      </c>
      <c r="S31" s="23" t="s">
        <v>43</v>
      </c>
      <c r="T31" s="27" t="s">
        <v>45</v>
      </c>
      <c r="U31" s="23">
        <v>17.444021847922443</v>
      </c>
      <c r="V31" s="23" t="s">
        <v>82</v>
      </c>
    </row>
    <row r="32" spans="1:25" x14ac:dyDescent="0.25">
      <c r="A32" s="23">
        <v>71</v>
      </c>
      <c r="B32" s="23" t="s">
        <v>21</v>
      </c>
      <c r="C32" s="23" t="s">
        <v>23</v>
      </c>
      <c r="D32" s="23" t="s">
        <v>219</v>
      </c>
      <c r="E32" s="24">
        <v>1.87</v>
      </c>
      <c r="F32" s="23">
        <v>61</v>
      </c>
      <c r="G32" s="23" t="s">
        <v>25</v>
      </c>
      <c r="H32" s="23" t="s">
        <v>24</v>
      </c>
      <c r="I32" s="23">
        <v>20</v>
      </c>
      <c r="J32" s="23" t="s">
        <v>28</v>
      </c>
      <c r="K32" s="23" t="s">
        <v>27</v>
      </c>
      <c r="L32" s="23" t="s">
        <v>141</v>
      </c>
      <c r="M32" s="23" t="s">
        <v>179</v>
      </c>
      <c r="N32" s="23" t="s">
        <v>218</v>
      </c>
      <c r="O32" s="23" t="s">
        <v>76</v>
      </c>
      <c r="P32" s="23" t="s">
        <v>30</v>
      </c>
      <c r="Q32" s="23" t="s">
        <v>32</v>
      </c>
      <c r="R32" s="23" t="s">
        <v>35</v>
      </c>
      <c r="S32" s="23" t="s">
        <v>43</v>
      </c>
      <c r="T32" s="27" t="s">
        <v>45</v>
      </c>
      <c r="U32" s="23">
        <v>17.444021847922443</v>
      </c>
      <c r="V32" s="23" t="s">
        <v>82</v>
      </c>
    </row>
    <row r="33" spans="1:22" x14ac:dyDescent="0.25">
      <c r="A33" s="23">
        <v>72</v>
      </c>
      <c r="B33" s="23" t="s">
        <v>21</v>
      </c>
      <c r="C33" s="23" t="s">
        <v>23</v>
      </c>
      <c r="D33" s="23" t="s">
        <v>221</v>
      </c>
      <c r="E33" s="24">
        <v>1.87</v>
      </c>
      <c r="F33" s="23">
        <v>61</v>
      </c>
      <c r="G33" s="23" t="s">
        <v>24</v>
      </c>
      <c r="H33" s="23" t="s">
        <v>24</v>
      </c>
      <c r="I33" s="23">
        <v>20</v>
      </c>
      <c r="J33" s="23" t="s">
        <v>28</v>
      </c>
      <c r="K33" s="23" t="s">
        <v>27</v>
      </c>
      <c r="L33" s="23" t="s">
        <v>141</v>
      </c>
      <c r="M33" s="23" t="s">
        <v>222</v>
      </c>
      <c r="N33" s="23" t="s">
        <v>218</v>
      </c>
      <c r="O33" s="23" t="s">
        <v>76</v>
      </c>
      <c r="P33" s="23" t="s">
        <v>30</v>
      </c>
      <c r="Q33" s="23" t="s">
        <v>32</v>
      </c>
      <c r="R33" s="23" t="s">
        <v>34</v>
      </c>
      <c r="S33" s="23" t="s">
        <v>43</v>
      </c>
      <c r="T33" s="27" t="s">
        <v>44</v>
      </c>
      <c r="U33" s="23">
        <v>17.444021847922443</v>
      </c>
      <c r="V33" s="23" t="s">
        <v>82</v>
      </c>
    </row>
    <row r="34" spans="1:22" x14ac:dyDescent="0.25">
      <c r="A34" s="23">
        <v>86</v>
      </c>
      <c r="B34" s="23" t="s">
        <v>21</v>
      </c>
      <c r="C34" s="23" t="s">
        <v>22</v>
      </c>
      <c r="D34" s="23" t="s">
        <v>232</v>
      </c>
      <c r="E34" s="24">
        <v>1.55</v>
      </c>
      <c r="F34" s="23">
        <v>71</v>
      </c>
      <c r="G34" s="23" t="s">
        <v>54</v>
      </c>
      <c r="H34" s="23" t="s">
        <v>24</v>
      </c>
      <c r="I34" s="23">
        <v>26</v>
      </c>
      <c r="J34" s="23" t="s">
        <v>27</v>
      </c>
      <c r="K34" s="23" t="s">
        <v>27</v>
      </c>
      <c r="L34" s="23" t="s">
        <v>91</v>
      </c>
      <c r="M34" s="23" t="s">
        <v>80</v>
      </c>
      <c r="N34" s="25">
        <v>43781</v>
      </c>
      <c r="O34" s="23" t="s">
        <v>233</v>
      </c>
      <c r="P34" s="23" t="s">
        <v>30</v>
      </c>
      <c r="Q34" s="23" t="s">
        <v>33</v>
      </c>
      <c r="R34" s="23" t="s">
        <v>37</v>
      </c>
      <c r="S34" s="23" t="s">
        <v>38</v>
      </c>
      <c r="T34" s="27" t="s">
        <v>45</v>
      </c>
      <c r="U34" s="23">
        <v>29.552549427679498</v>
      </c>
      <c r="V34" s="23" t="s">
        <v>62</v>
      </c>
    </row>
    <row r="35" spans="1:22" x14ac:dyDescent="0.25">
      <c r="A35" s="23">
        <v>87</v>
      </c>
      <c r="B35" s="23" t="s">
        <v>20</v>
      </c>
      <c r="C35" s="23" t="s">
        <v>23</v>
      </c>
      <c r="D35" s="23" t="s">
        <v>234</v>
      </c>
      <c r="E35" s="24">
        <v>1.55</v>
      </c>
      <c r="F35" s="23">
        <v>71</v>
      </c>
      <c r="G35" s="23" t="s">
        <v>25</v>
      </c>
      <c r="H35" s="23" t="s">
        <v>24</v>
      </c>
      <c r="I35" s="23">
        <v>6</v>
      </c>
      <c r="J35" s="23" t="s">
        <v>28</v>
      </c>
      <c r="K35" s="23" t="s">
        <v>27</v>
      </c>
      <c r="L35" s="23" t="s">
        <v>188</v>
      </c>
      <c r="M35" s="23" t="s">
        <v>235</v>
      </c>
      <c r="N35" s="25">
        <v>43781</v>
      </c>
      <c r="O35" s="23" t="s">
        <v>233</v>
      </c>
      <c r="P35" s="23" t="s">
        <v>30</v>
      </c>
      <c r="Q35" s="23" t="s">
        <v>33</v>
      </c>
      <c r="R35" s="23" t="s">
        <v>36</v>
      </c>
      <c r="S35" s="23" t="s">
        <v>38</v>
      </c>
      <c r="T35" s="27" t="s">
        <v>44</v>
      </c>
      <c r="U35" s="23">
        <v>29.552549427679498</v>
      </c>
      <c r="V35" s="23" t="s">
        <v>62</v>
      </c>
    </row>
    <row r="36" spans="1:22" x14ac:dyDescent="0.25">
      <c r="A36" s="23">
        <v>89</v>
      </c>
      <c r="B36" s="23" t="s">
        <v>20</v>
      </c>
      <c r="C36" s="23" t="s">
        <v>22</v>
      </c>
      <c r="D36" s="23" t="s">
        <v>238</v>
      </c>
      <c r="E36" s="24">
        <v>1.65</v>
      </c>
      <c r="F36" s="23">
        <v>81</v>
      </c>
      <c r="G36" s="23" t="s">
        <v>54</v>
      </c>
      <c r="H36" s="23" t="s">
        <v>24</v>
      </c>
      <c r="I36" s="23">
        <v>16</v>
      </c>
      <c r="J36" s="23" t="s">
        <v>27</v>
      </c>
      <c r="K36" s="23" t="s">
        <v>27</v>
      </c>
      <c r="L36" s="23" t="s">
        <v>60</v>
      </c>
      <c r="M36" s="23" t="s">
        <v>109</v>
      </c>
      <c r="N36" s="25">
        <v>43781</v>
      </c>
      <c r="O36" s="23" t="s">
        <v>237</v>
      </c>
      <c r="P36" s="23" t="s">
        <v>29</v>
      </c>
      <c r="Q36" s="23" t="s">
        <v>33</v>
      </c>
      <c r="R36" s="23" t="s">
        <v>37</v>
      </c>
      <c r="S36" s="23" t="s">
        <v>38</v>
      </c>
      <c r="T36" s="27" t="s">
        <v>45</v>
      </c>
      <c r="U36" s="23">
        <v>29.752066115702483</v>
      </c>
      <c r="V36" s="23" t="s">
        <v>62</v>
      </c>
    </row>
    <row r="37" spans="1:22" x14ac:dyDescent="0.25">
      <c r="A37" s="23">
        <v>90</v>
      </c>
      <c r="B37" s="23" t="s">
        <v>21</v>
      </c>
      <c r="C37" s="23" t="s">
        <v>22</v>
      </c>
      <c r="D37" s="23" t="s">
        <v>239</v>
      </c>
      <c r="E37" s="24">
        <v>1.75</v>
      </c>
      <c r="F37" s="23">
        <v>91</v>
      </c>
      <c r="G37" s="23" t="s">
        <v>54</v>
      </c>
      <c r="H37" s="23" t="s">
        <v>24</v>
      </c>
      <c r="I37" s="23">
        <v>6</v>
      </c>
      <c r="J37" s="23" t="s">
        <v>27</v>
      </c>
      <c r="K37" s="23" t="s">
        <v>27</v>
      </c>
      <c r="L37" s="23" t="s">
        <v>60</v>
      </c>
      <c r="M37" s="23" t="s">
        <v>147</v>
      </c>
      <c r="N37" s="25">
        <v>43781</v>
      </c>
      <c r="O37" s="23" t="s">
        <v>237</v>
      </c>
      <c r="P37" s="23" t="s">
        <v>30</v>
      </c>
      <c r="Q37" s="23" t="s">
        <v>33</v>
      </c>
      <c r="R37" s="23" t="s">
        <v>37</v>
      </c>
      <c r="S37" s="23" t="s">
        <v>38</v>
      </c>
      <c r="T37" s="27" t="s">
        <v>27</v>
      </c>
      <c r="U37" s="23">
        <v>29.714285714285715</v>
      </c>
      <c r="V37" s="23" t="s">
        <v>62</v>
      </c>
    </row>
    <row r="38" spans="1:22" x14ac:dyDescent="0.25">
      <c r="A38" s="23">
        <v>93</v>
      </c>
      <c r="B38" s="23" t="s">
        <v>21</v>
      </c>
      <c r="C38" s="23" t="s">
        <v>23</v>
      </c>
      <c r="D38" s="25">
        <v>34464</v>
      </c>
      <c r="E38" s="24">
        <v>1.87</v>
      </c>
      <c r="F38" s="23">
        <v>59</v>
      </c>
      <c r="G38" s="23" t="s">
        <v>25</v>
      </c>
      <c r="H38" s="23" t="s">
        <v>25</v>
      </c>
      <c r="I38" s="23">
        <v>18</v>
      </c>
      <c r="J38" s="23" t="s">
        <v>28</v>
      </c>
      <c r="K38" s="23" t="s">
        <v>27</v>
      </c>
      <c r="L38" s="23" t="s">
        <v>174</v>
      </c>
      <c r="M38" s="23" t="s">
        <v>243</v>
      </c>
      <c r="N38" s="23" t="s">
        <v>244</v>
      </c>
      <c r="O38" s="23" t="s">
        <v>134</v>
      </c>
      <c r="P38" s="23" t="s">
        <v>30</v>
      </c>
      <c r="Q38" s="23" t="s">
        <v>33</v>
      </c>
      <c r="R38" s="23" t="s">
        <v>37</v>
      </c>
      <c r="S38" s="23" t="s">
        <v>43</v>
      </c>
      <c r="T38" s="27" t="s">
        <v>45</v>
      </c>
      <c r="U38" s="23">
        <v>16.872086705367607</v>
      </c>
      <c r="V38" s="23" t="s">
        <v>82</v>
      </c>
    </row>
    <row r="39" spans="1:22" x14ac:dyDescent="0.25">
      <c r="A39" s="23">
        <v>94</v>
      </c>
      <c r="B39" s="23" t="s">
        <v>20</v>
      </c>
      <c r="C39" s="23" t="s">
        <v>23</v>
      </c>
      <c r="D39" s="25">
        <v>30873</v>
      </c>
      <c r="E39" s="24">
        <v>1.8</v>
      </c>
      <c r="F39" s="23">
        <v>91</v>
      </c>
      <c r="G39" s="23" t="s">
        <v>25</v>
      </c>
      <c r="H39" s="23" t="s">
        <v>25</v>
      </c>
      <c r="I39" s="23">
        <v>8</v>
      </c>
      <c r="J39" s="23" t="s">
        <v>28</v>
      </c>
      <c r="K39" s="23" t="s">
        <v>27</v>
      </c>
      <c r="L39" s="23" t="s">
        <v>174</v>
      </c>
      <c r="M39" s="23" t="s">
        <v>243</v>
      </c>
      <c r="N39" s="25">
        <v>43742</v>
      </c>
      <c r="O39" s="23" t="s">
        <v>245</v>
      </c>
      <c r="P39" s="23" t="s">
        <v>31</v>
      </c>
      <c r="Q39" s="23" t="s">
        <v>32</v>
      </c>
      <c r="R39" s="23" t="s">
        <v>36</v>
      </c>
      <c r="S39" s="23" t="s">
        <v>41</v>
      </c>
      <c r="T39" s="27" t="s">
        <v>45</v>
      </c>
      <c r="U39" s="23">
        <v>28.086419753086417</v>
      </c>
      <c r="V39" s="23" t="s">
        <v>62</v>
      </c>
    </row>
    <row r="40" spans="1:22" x14ac:dyDescent="0.25">
      <c r="A40" s="23">
        <v>95</v>
      </c>
      <c r="B40" s="23" t="s">
        <v>20</v>
      </c>
      <c r="C40" s="23" t="s">
        <v>23</v>
      </c>
      <c r="D40" s="25">
        <v>36351</v>
      </c>
      <c r="E40" s="24">
        <v>1.8</v>
      </c>
      <c r="F40" s="23">
        <v>54</v>
      </c>
      <c r="G40" s="23" t="s">
        <v>25</v>
      </c>
      <c r="H40" s="23" t="s">
        <v>25</v>
      </c>
      <c r="I40" s="23">
        <v>0</v>
      </c>
      <c r="J40" s="23" t="s">
        <v>28</v>
      </c>
      <c r="K40" s="23" t="s">
        <v>27</v>
      </c>
      <c r="L40" s="23" t="s">
        <v>101</v>
      </c>
      <c r="M40" s="23" t="s">
        <v>127</v>
      </c>
      <c r="N40" s="25">
        <v>43745</v>
      </c>
      <c r="O40" s="23" t="s">
        <v>165</v>
      </c>
      <c r="P40" s="23" t="s">
        <v>30</v>
      </c>
      <c r="Q40" s="23" t="s">
        <v>33</v>
      </c>
      <c r="R40" s="23" t="s">
        <v>37</v>
      </c>
      <c r="S40" s="23" t="s">
        <v>38</v>
      </c>
      <c r="T40" s="27" t="s">
        <v>27</v>
      </c>
      <c r="U40" s="23">
        <v>16.666666666666664</v>
      </c>
      <c r="V40" s="23" t="s">
        <v>82</v>
      </c>
    </row>
    <row r="41" spans="1:22" x14ac:dyDescent="0.25">
      <c r="A41" s="23">
        <v>96</v>
      </c>
      <c r="B41" s="23" t="s">
        <v>20</v>
      </c>
      <c r="C41" s="23" t="s">
        <v>23</v>
      </c>
      <c r="D41" s="25">
        <v>20646</v>
      </c>
      <c r="E41" s="24">
        <v>1.8</v>
      </c>
      <c r="F41" s="23">
        <v>84</v>
      </c>
      <c r="G41" s="23" t="s">
        <v>25</v>
      </c>
      <c r="H41" s="23" t="s">
        <v>25</v>
      </c>
      <c r="I41" s="23">
        <v>30</v>
      </c>
      <c r="J41" s="23" t="s">
        <v>28</v>
      </c>
      <c r="K41" s="23" t="s">
        <v>27</v>
      </c>
      <c r="L41" s="23" t="s">
        <v>129</v>
      </c>
      <c r="M41" s="23" t="s">
        <v>127</v>
      </c>
      <c r="N41" s="25">
        <v>43746</v>
      </c>
      <c r="O41" s="25">
        <v>43807</v>
      </c>
      <c r="P41" s="23" t="s">
        <v>29</v>
      </c>
      <c r="Q41" s="23" t="s">
        <v>33</v>
      </c>
      <c r="R41" s="23" t="s">
        <v>37</v>
      </c>
      <c r="S41" s="23" t="s">
        <v>38</v>
      </c>
      <c r="T41" s="27" t="s">
        <v>27</v>
      </c>
      <c r="U41" s="23">
        <v>25.925925925925924</v>
      </c>
      <c r="V41" s="23" t="s">
        <v>62</v>
      </c>
    </row>
    <row r="42" spans="1:22" x14ac:dyDescent="0.25">
      <c r="A42" s="23">
        <v>97</v>
      </c>
      <c r="B42" s="23" t="s">
        <v>20</v>
      </c>
      <c r="C42" s="23" t="s">
        <v>23</v>
      </c>
      <c r="D42" s="25">
        <v>20646</v>
      </c>
      <c r="E42" s="24">
        <v>1.8</v>
      </c>
      <c r="F42" s="23">
        <v>84</v>
      </c>
      <c r="G42" s="23" t="s">
        <v>25</v>
      </c>
      <c r="H42" s="23" t="s">
        <v>25</v>
      </c>
      <c r="I42" s="23">
        <v>0</v>
      </c>
      <c r="J42" s="23" t="s">
        <v>28</v>
      </c>
      <c r="K42" s="23" t="s">
        <v>27</v>
      </c>
      <c r="L42" s="23" t="s">
        <v>246</v>
      </c>
      <c r="M42" s="23" t="s">
        <v>247</v>
      </c>
      <c r="N42" s="25">
        <v>43777</v>
      </c>
      <c r="O42" s="23" t="s">
        <v>248</v>
      </c>
      <c r="P42" s="23" t="s">
        <v>31</v>
      </c>
      <c r="Q42" s="23" t="s">
        <v>32</v>
      </c>
      <c r="R42" s="23" t="s">
        <v>35</v>
      </c>
      <c r="S42" s="23" t="s">
        <v>40</v>
      </c>
      <c r="T42" s="27" t="s">
        <v>45</v>
      </c>
      <c r="U42" s="23">
        <v>25.925925925925924</v>
      </c>
      <c r="V42" s="23" t="s">
        <v>62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workbookViewId="0">
      <selection activeCell="J11" sqref="J1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I101"/>
  <sheetViews>
    <sheetView workbookViewId="0">
      <selection activeCell="D31" sqref="D31"/>
    </sheetView>
  </sheetViews>
  <sheetFormatPr baseColWidth="10" defaultRowHeight="15" x14ac:dyDescent="0.25"/>
  <cols>
    <col min="1" max="1" width="17.140625" customWidth="1"/>
    <col min="2" max="2" width="14.85546875" customWidth="1"/>
    <col min="3" max="3" width="35.28515625" customWidth="1"/>
    <col min="4" max="4" width="22.7109375" customWidth="1"/>
    <col min="5" max="5" width="27" customWidth="1"/>
    <col min="6" max="6" width="27.85546875" customWidth="1"/>
    <col min="7" max="7" width="29.7109375" customWidth="1"/>
    <col min="8" max="8" width="16.7109375" style="30" customWidth="1"/>
    <col min="9" max="9" width="11.42578125" style="30"/>
  </cols>
  <sheetData>
    <row r="1" spans="1:9" x14ac:dyDescent="0.25">
      <c r="A1" s="6" t="s">
        <v>11</v>
      </c>
      <c r="B1" s="36" t="s">
        <v>257</v>
      </c>
      <c r="F1" s="30"/>
      <c r="G1" s="30"/>
      <c r="H1" s="37" t="s">
        <v>11</v>
      </c>
      <c r="I1" s="37" t="s">
        <v>10</v>
      </c>
    </row>
    <row r="2" spans="1:9" x14ac:dyDescent="0.25">
      <c r="A2" s="11" t="s">
        <v>84</v>
      </c>
      <c r="B2" s="35">
        <f t="shared" ref="B2:B37" si="0">COUNTIF($H$1:$H$101,A2)</f>
        <v>6</v>
      </c>
      <c r="E2" s="23"/>
      <c r="F2" s="35"/>
      <c r="G2" s="30"/>
      <c r="H2" s="37" t="s">
        <v>51</v>
      </c>
      <c r="I2" s="37" t="s">
        <v>27</v>
      </c>
    </row>
    <row r="3" spans="1:9" x14ac:dyDescent="0.25">
      <c r="A3" s="11" t="s">
        <v>223</v>
      </c>
      <c r="B3" s="35">
        <f t="shared" si="0"/>
        <v>3</v>
      </c>
      <c r="E3" s="35"/>
      <c r="F3" s="35"/>
      <c r="G3" s="30"/>
      <c r="H3" s="37" t="s">
        <v>55</v>
      </c>
      <c r="I3" s="37" t="s">
        <v>27</v>
      </c>
    </row>
    <row r="4" spans="1:9" x14ac:dyDescent="0.25">
      <c r="A4" s="11" t="s">
        <v>174</v>
      </c>
      <c r="B4" s="35">
        <f t="shared" si="0"/>
        <v>3</v>
      </c>
      <c r="E4" s="35"/>
      <c r="F4" s="35"/>
      <c r="G4" s="30"/>
      <c r="H4" s="37" t="s">
        <v>60</v>
      </c>
      <c r="I4" s="37" t="s">
        <v>27</v>
      </c>
    </row>
    <row r="5" spans="1:9" x14ac:dyDescent="0.25">
      <c r="A5" s="11" t="s">
        <v>113</v>
      </c>
      <c r="B5" s="35">
        <f t="shared" si="0"/>
        <v>2</v>
      </c>
      <c r="E5" s="35"/>
      <c r="F5" s="35"/>
      <c r="G5" s="30"/>
      <c r="H5" s="37" t="s">
        <v>66</v>
      </c>
      <c r="I5" s="37" t="s">
        <v>27</v>
      </c>
    </row>
    <row r="6" spans="1:9" x14ac:dyDescent="0.25">
      <c r="A6" s="11" t="s">
        <v>132</v>
      </c>
      <c r="B6" s="35">
        <f t="shared" si="0"/>
        <v>3</v>
      </c>
      <c r="E6" s="35"/>
      <c r="F6" s="35"/>
      <c r="G6" s="30"/>
      <c r="H6" s="37" t="s">
        <v>71</v>
      </c>
      <c r="I6" s="37" t="s">
        <v>27</v>
      </c>
    </row>
    <row r="7" spans="1:9" x14ac:dyDescent="0.25">
      <c r="A7" s="11" t="s">
        <v>101</v>
      </c>
      <c r="B7" s="35">
        <f t="shared" si="0"/>
        <v>3</v>
      </c>
      <c r="E7" s="35"/>
      <c r="F7" s="35"/>
      <c r="G7" s="30"/>
      <c r="H7" s="37" t="s">
        <v>74</v>
      </c>
      <c r="I7" s="37" t="s">
        <v>27</v>
      </c>
    </row>
    <row r="8" spans="1:9" x14ac:dyDescent="0.25">
      <c r="A8" s="11" t="s">
        <v>60</v>
      </c>
      <c r="B8" s="35">
        <f t="shared" si="0"/>
        <v>14</v>
      </c>
      <c r="E8" s="35"/>
      <c r="F8" s="35"/>
      <c r="G8" s="30"/>
      <c r="H8" s="37" t="s">
        <v>79</v>
      </c>
      <c r="I8" s="37" t="s">
        <v>27</v>
      </c>
    </row>
    <row r="9" spans="1:9" x14ac:dyDescent="0.25">
      <c r="A9" s="11" t="s">
        <v>199</v>
      </c>
      <c r="B9" s="35">
        <f t="shared" si="0"/>
        <v>1</v>
      </c>
      <c r="E9" s="35"/>
      <c r="F9" s="35"/>
      <c r="G9" s="30"/>
      <c r="H9" s="37" t="s">
        <v>84</v>
      </c>
      <c r="I9" s="37" t="s">
        <v>27</v>
      </c>
    </row>
    <row r="10" spans="1:9" x14ac:dyDescent="0.25">
      <c r="A10" s="11" t="s">
        <v>246</v>
      </c>
      <c r="B10" s="35">
        <f t="shared" si="0"/>
        <v>1</v>
      </c>
      <c r="E10" s="35"/>
      <c r="F10" s="35"/>
      <c r="G10" s="30"/>
      <c r="H10" s="37" t="s">
        <v>60</v>
      </c>
      <c r="I10" s="37" t="s">
        <v>27</v>
      </c>
    </row>
    <row r="11" spans="1:9" x14ac:dyDescent="0.25">
      <c r="A11" s="11" t="s">
        <v>155</v>
      </c>
      <c r="B11" s="35">
        <f t="shared" si="0"/>
        <v>4</v>
      </c>
      <c r="E11" s="35"/>
      <c r="F11" s="35"/>
      <c r="G11" s="30"/>
      <c r="H11" s="37" t="s">
        <v>51</v>
      </c>
      <c r="I11" s="37" t="s">
        <v>27</v>
      </c>
    </row>
    <row r="12" spans="1:9" x14ac:dyDescent="0.25">
      <c r="A12" s="11" t="s">
        <v>51</v>
      </c>
      <c r="B12" s="35">
        <f t="shared" si="0"/>
        <v>2</v>
      </c>
      <c r="E12" s="35"/>
      <c r="F12" s="35"/>
      <c r="G12" s="30"/>
      <c r="H12" s="37" t="s">
        <v>91</v>
      </c>
      <c r="I12" s="37" t="s">
        <v>27</v>
      </c>
    </row>
    <row r="13" spans="1:9" x14ac:dyDescent="0.25">
      <c r="A13" s="11" t="s">
        <v>129</v>
      </c>
      <c r="B13" s="35">
        <f t="shared" si="0"/>
        <v>2</v>
      </c>
      <c r="E13" s="35"/>
      <c r="F13" s="35"/>
      <c r="G13" s="30"/>
      <c r="H13" s="37" t="s">
        <v>96</v>
      </c>
      <c r="I13" s="37" t="s">
        <v>27</v>
      </c>
    </row>
    <row r="14" spans="1:9" x14ac:dyDescent="0.25">
      <c r="A14" s="11" t="s">
        <v>126</v>
      </c>
      <c r="B14" s="35">
        <f t="shared" si="0"/>
        <v>1</v>
      </c>
      <c r="E14" s="35"/>
      <c r="F14" s="35"/>
      <c r="G14" s="30"/>
      <c r="H14" s="37" t="s">
        <v>98</v>
      </c>
      <c r="I14" s="37" t="s">
        <v>27</v>
      </c>
    </row>
    <row r="15" spans="1:9" x14ac:dyDescent="0.25">
      <c r="A15" s="11" t="s">
        <v>66</v>
      </c>
      <c r="B15" s="35">
        <f t="shared" si="0"/>
        <v>4</v>
      </c>
      <c r="E15" s="35"/>
      <c r="F15" s="35"/>
      <c r="G15" s="30"/>
      <c r="H15" s="37" t="s">
        <v>101</v>
      </c>
      <c r="I15" s="37" t="s">
        <v>27</v>
      </c>
    </row>
    <row r="16" spans="1:9" x14ac:dyDescent="0.25">
      <c r="A16" s="11" t="s">
        <v>256</v>
      </c>
      <c r="B16" s="35">
        <f t="shared" si="0"/>
        <v>2</v>
      </c>
      <c r="E16" s="35"/>
      <c r="F16" s="35"/>
      <c r="G16" s="30"/>
      <c r="H16" s="37" t="s">
        <v>103</v>
      </c>
      <c r="I16" s="37" t="s">
        <v>27</v>
      </c>
    </row>
    <row r="17" spans="1:9" x14ac:dyDescent="0.25">
      <c r="A17" s="11" t="s">
        <v>98</v>
      </c>
      <c r="B17" s="35">
        <f t="shared" si="0"/>
        <v>4</v>
      </c>
      <c r="E17" s="35"/>
      <c r="F17" s="35"/>
      <c r="G17" s="30"/>
      <c r="H17" s="37" t="s">
        <v>106</v>
      </c>
      <c r="I17" s="37" t="s">
        <v>27</v>
      </c>
    </row>
    <row r="18" spans="1:9" x14ac:dyDescent="0.25">
      <c r="A18" s="11" t="s">
        <v>103</v>
      </c>
      <c r="B18" s="35">
        <f t="shared" si="0"/>
        <v>1</v>
      </c>
      <c r="E18" s="35"/>
      <c r="F18" s="35"/>
      <c r="G18" s="30"/>
      <c r="H18" s="37" t="s">
        <v>108</v>
      </c>
      <c r="I18" s="37" t="s">
        <v>27</v>
      </c>
    </row>
    <row r="19" spans="1:9" x14ac:dyDescent="0.25">
      <c r="A19" s="11" t="s">
        <v>91</v>
      </c>
      <c r="B19" s="35">
        <f t="shared" si="0"/>
        <v>4</v>
      </c>
      <c r="E19" s="35"/>
      <c r="F19" s="35"/>
      <c r="G19" s="30"/>
      <c r="H19" s="37" t="s">
        <v>111</v>
      </c>
      <c r="I19" s="37" t="s">
        <v>27</v>
      </c>
    </row>
    <row r="20" spans="1:9" x14ac:dyDescent="0.25">
      <c r="A20" s="11" t="s">
        <v>71</v>
      </c>
      <c r="B20" s="35">
        <f t="shared" si="0"/>
        <v>3</v>
      </c>
      <c r="E20" s="35"/>
      <c r="F20" s="35"/>
      <c r="G20" s="30"/>
      <c r="H20" s="37" t="s">
        <v>113</v>
      </c>
      <c r="I20" s="37" t="s">
        <v>27</v>
      </c>
    </row>
    <row r="21" spans="1:9" x14ac:dyDescent="0.25">
      <c r="A21" s="11" t="s">
        <v>106</v>
      </c>
      <c r="B21" s="35">
        <f t="shared" si="0"/>
        <v>1</v>
      </c>
      <c r="E21" s="35"/>
      <c r="F21" s="35"/>
      <c r="G21" s="30"/>
      <c r="H21" s="37" t="s">
        <v>126</v>
      </c>
      <c r="I21" s="37" t="s">
        <v>27</v>
      </c>
    </row>
    <row r="22" spans="1:9" x14ac:dyDescent="0.25">
      <c r="A22" s="11" t="s">
        <v>162</v>
      </c>
      <c r="B22" s="35">
        <f t="shared" si="0"/>
        <v>2</v>
      </c>
      <c r="E22" s="35"/>
      <c r="F22" s="35"/>
      <c r="G22" s="30"/>
      <c r="H22" s="37" t="s">
        <v>129</v>
      </c>
      <c r="I22" s="37" t="s">
        <v>27</v>
      </c>
    </row>
    <row r="23" spans="1:9" x14ac:dyDescent="0.25">
      <c r="A23" s="11" t="s">
        <v>214</v>
      </c>
      <c r="B23" s="35">
        <f t="shared" si="0"/>
        <v>3</v>
      </c>
      <c r="E23" s="35"/>
      <c r="F23" s="35"/>
      <c r="G23" s="30"/>
      <c r="H23" s="37" t="s">
        <v>132</v>
      </c>
      <c r="I23" s="37" t="s">
        <v>27</v>
      </c>
    </row>
    <row r="24" spans="1:9" x14ac:dyDescent="0.25">
      <c r="A24" s="11" t="s">
        <v>188</v>
      </c>
      <c r="B24" s="35">
        <f t="shared" si="0"/>
        <v>2</v>
      </c>
      <c r="D24" s="35"/>
      <c r="E24" s="35"/>
      <c r="F24" s="35"/>
      <c r="G24" s="30"/>
      <c r="H24" s="37" t="s">
        <v>137</v>
      </c>
      <c r="I24" s="37" t="s">
        <v>27</v>
      </c>
    </row>
    <row r="25" spans="1:9" x14ac:dyDescent="0.25">
      <c r="A25" s="11" t="s">
        <v>178</v>
      </c>
      <c r="B25" s="35">
        <f t="shared" si="0"/>
        <v>1</v>
      </c>
      <c r="E25" s="35"/>
      <c r="F25" s="35"/>
      <c r="G25" s="30"/>
      <c r="H25" s="37" t="s">
        <v>141</v>
      </c>
      <c r="I25" s="37" t="s">
        <v>27</v>
      </c>
    </row>
    <row r="26" spans="1:9" x14ac:dyDescent="0.25">
      <c r="A26" s="11" t="s">
        <v>79</v>
      </c>
      <c r="B26" s="35">
        <f t="shared" si="0"/>
        <v>1</v>
      </c>
      <c r="E26" s="35"/>
      <c r="F26" s="35"/>
      <c r="G26" s="30"/>
      <c r="H26" s="37" t="s">
        <v>141</v>
      </c>
      <c r="I26" s="37" t="s">
        <v>27</v>
      </c>
    </row>
    <row r="27" spans="1:9" x14ac:dyDescent="0.25">
      <c r="A27" s="11" t="s">
        <v>74</v>
      </c>
      <c r="B27" s="35">
        <f t="shared" si="0"/>
        <v>1</v>
      </c>
      <c r="E27" s="35"/>
      <c r="F27" s="35"/>
      <c r="G27" s="30"/>
      <c r="H27" s="37" t="s">
        <v>60</v>
      </c>
      <c r="I27" s="37" t="s">
        <v>27</v>
      </c>
    </row>
    <row r="28" spans="1:9" x14ac:dyDescent="0.25">
      <c r="A28" s="11" t="s">
        <v>137</v>
      </c>
      <c r="B28" s="35">
        <f t="shared" si="0"/>
        <v>1</v>
      </c>
      <c r="E28" s="35"/>
      <c r="F28" s="35"/>
      <c r="G28" s="30"/>
      <c r="H28" s="37" t="s">
        <v>60</v>
      </c>
      <c r="I28" s="37" t="s">
        <v>27</v>
      </c>
    </row>
    <row r="29" spans="1:9" x14ac:dyDescent="0.25">
      <c r="A29" s="11" t="s">
        <v>96</v>
      </c>
      <c r="B29" s="35">
        <f t="shared" si="0"/>
        <v>1</v>
      </c>
      <c r="E29" s="35"/>
      <c r="F29" s="35"/>
      <c r="G29" s="30"/>
      <c r="H29" s="37" t="s">
        <v>111</v>
      </c>
      <c r="I29" s="37" t="s">
        <v>27</v>
      </c>
    </row>
    <row r="30" spans="1:9" x14ac:dyDescent="0.25">
      <c r="A30" s="11" t="s">
        <v>148</v>
      </c>
      <c r="B30" s="35">
        <f t="shared" si="0"/>
        <v>1</v>
      </c>
      <c r="E30" s="35"/>
      <c r="F30" s="35"/>
      <c r="G30" s="30"/>
      <c r="H30" s="37" t="s">
        <v>146</v>
      </c>
      <c r="I30" s="37" t="s">
        <v>27</v>
      </c>
    </row>
    <row r="31" spans="1:9" x14ac:dyDescent="0.25">
      <c r="A31" s="11" t="s">
        <v>146</v>
      </c>
      <c r="B31" s="35">
        <f t="shared" si="0"/>
        <v>1</v>
      </c>
      <c r="E31" s="35"/>
      <c r="F31" s="35"/>
      <c r="G31" s="30"/>
      <c r="H31" s="37" t="s">
        <v>148</v>
      </c>
      <c r="I31" s="37" t="s">
        <v>27</v>
      </c>
    </row>
    <row r="32" spans="1:9" x14ac:dyDescent="0.25">
      <c r="A32" s="11" t="s">
        <v>111</v>
      </c>
      <c r="B32" s="35">
        <f t="shared" si="0"/>
        <v>2</v>
      </c>
      <c r="E32" s="35"/>
      <c r="F32" s="35"/>
      <c r="G32" s="30"/>
      <c r="H32" s="37" t="s">
        <v>91</v>
      </c>
      <c r="I32" s="37" t="s">
        <v>27</v>
      </c>
    </row>
    <row r="33" spans="1:9" x14ac:dyDescent="0.25">
      <c r="A33" s="11" t="s">
        <v>141</v>
      </c>
      <c r="B33" s="35">
        <f t="shared" si="0"/>
        <v>9</v>
      </c>
      <c r="E33" s="35"/>
      <c r="F33" s="35"/>
      <c r="G33" s="30"/>
      <c r="H33" s="37" t="s">
        <v>60</v>
      </c>
      <c r="I33" s="37" t="s">
        <v>27</v>
      </c>
    </row>
    <row r="34" spans="1:9" x14ac:dyDescent="0.25">
      <c r="A34" s="11" t="s">
        <v>216</v>
      </c>
      <c r="B34" s="35">
        <f t="shared" si="0"/>
        <v>1</v>
      </c>
      <c r="E34" s="35"/>
      <c r="F34" s="35"/>
      <c r="H34" s="37" t="s">
        <v>60</v>
      </c>
      <c r="I34" s="37" t="s">
        <v>27</v>
      </c>
    </row>
    <row r="35" spans="1:9" x14ac:dyDescent="0.25">
      <c r="A35" s="11" t="s">
        <v>217</v>
      </c>
      <c r="B35" s="35">
        <f t="shared" si="0"/>
        <v>1</v>
      </c>
      <c r="E35" s="35"/>
      <c r="F35" s="35"/>
      <c r="H35" s="37" t="s">
        <v>155</v>
      </c>
      <c r="I35" s="37" t="s">
        <v>27</v>
      </c>
    </row>
    <row r="36" spans="1:9" x14ac:dyDescent="0.25">
      <c r="A36" s="11" t="s">
        <v>108</v>
      </c>
      <c r="B36" s="35">
        <f t="shared" si="0"/>
        <v>3</v>
      </c>
      <c r="F36" s="35"/>
      <c r="H36" s="37" t="s">
        <v>84</v>
      </c>
      <c r="I36" s="37" t="s">
        <v>27</v>
      </c>
    </row>
    <row r="37" spans="1:9" x14ac:dyDescent="0.25">
      <c r="A37" s="11" t="s">
        <v>55</v>
      </c>
      <c r="B37" s="35">
        <f t="shared" si="0"/>
        <v>6</v>
      </c>
      <c r="F37" s="35"/>
      <c r="H37" s="37" t="s">
        <v>84</v>
      </c>
      <c r="I37" s="37" t="s">
        <v>27</v>
      </c>
    </row>
    <row r="38" spans="1:9" x14ac:dyDescent="0.25">
      <c r="A38" s="5" t="s">
        <v>258</v>
      </c>
      <c r="B38" s="35">
        <f>SUM(B2:B37)</f>
        <v>100</v>
      </c>
      <c r="F38" s="35"/>
      <c r="H38" s="37" t="s">
        <v>162</v>
      </c>
      <c r="I38" s="37" t="s">
        <v>27</v>
      </c>
    </row>
    <row r="39" spans="1:9" x14ac:dyDescent="0.25">
      <c r="B39" s="35"/>
      <c r="F39" s="35"/>
      <c r="H39" s="37" t="s">
        <v>55</v>
      </c>
      <c r="I39" s="37" t="s">
        <v>27</v>
      </c>
    </row>
    <row r="40" spans="1:9" x14ac:dyDescent="0.25">
      <c r="B40" s="35"/>
      <c r="F40" s="35"/>
      <c r="H40" s="37" t="s">
        <v>155</v>
      </c>
      <c r="I40" s="37" t="s">
        <v>27</v>
      </c>
    </row>
    <row r="41" spans="1:9" x14ac:dyDescent="0.25">
      <c r="B41" s="35"/>
      <c r="F41" s="35"/>
      <c r="H41" s="37" t="s">
        <v>155</v>
      </c>
      <c r="I41" s="37" t="s">
        <v>27</v>
      </c>
    </row>
    <row r="42" spans="1:9" x14ac:dyDescent="0.25">
      <c r="B42" s="35"/>
      <c r="F42" s="35"/>
      <c r="H42" s="37" t="s">
        <v>174</v>
      </c>
      <c r="I42" s="37" t="s">
        <v>27</v>
      </c>
    </row>
    <row r="43" spans="1:9" x14ac:dyDescent="0.25">
      <c r="B43" s="35"/>
      <c r="F43" s="35"/>
      <c r="H43" s="37" t="s">
        <v>178</v>
      </c>
      <c r="I43" s="37" t="s">
        <v>27</v>
      </c>
    </row>
    <row r="44" spans="1:9" x14ac:dyDescent="0.25">
      <c r="B44" s="35"/>
      <c r="F44" s="35"/>
      <c r="H44" s="37" t="s">
        <v>71</v>
      </c>
      <c r="I44" s="37" t="s">
        <v>27</v>
      </c>
    </row>
    <row r="45" spans="1:9" x14ac:dyDescent="0.25">
      <c r="B45" s="35"/>
      <c r="F45" s="35"/>
      <c r="H45" s="37" t="s">
        <v>71</v>
      </c>
      <c r="I45" s="37" t="s">
        <v>27</v>
      </c>
    </row>
    <row r="46" spans="1:9" x14ac:dyDescent="0.25">
      <c r="B46" s="35"/>
      <c r="F46" s="35"/>
      <c r="H46" s="37" t="s">
        <v>84</v>
      </c>
      <c r="I46" s="37" t="s">
        <v>27</v>
      </c>
    </row>
    <row r="47" spans="1:9" x14ac:dyDescent="0.25">
      <c r="B47" s="35"/>
      <c r="F47" s="35"/>
      <c r="H47" s="37" t="s">
        <v>84</v>
      </c>
      <c r="I47" s="37" t="s">
        <v>27</v>
      </c>
    </row>
    <row r="48" spans="1:9" x14ac:dyDescent="0.25">
      <c r="B48" s="35"/>
      <c r="F48" s="35"/>
      <c r="H48" s="37" t="s">
        <v>84</v>
      </c>
      <c r="I48" s="37" t="s">
        <v>27</v>
      </c>
    </row>
    <row r="49" spans="2:9" x14ac:dyDescent="0.25">
      <c r="B49" s="35"/>
      <c r="F49" s="35"/>
      <c r="H49" s="37" t="s">
        <v>101</v>
      </c>
      <c r="I49" s="37" t="s">
        <v>27</v>
      </c>
    </row>
    <row r="50" spans="2:9" x14ac:dyDescent="0.25">
      <c r="B50" s="35"/>
      <c r="F50" s="35"/>
      <c r="H50" s="37" t="s">
        <v>188</v>
      </c>
      <c r="I50" s="37" t="s">
        <v>27</v>
      </c>
    </row>
    <row r="51" spans="2:9" x14ac:dyDescent="0.25">
      <c r="B51" s="35"/>
      <c r="F51" s="35"/>
      <c r="H51" s="37" t="s">
        <v>132</v>
      </c>
      <c r="I51" s="37" t="s">
        <v>27</v>
      </c>
    </row>
    <row r="52" spans="2:9" x14ac:dyDescent="0.25">
      <c r="B52" s="35"/>
      <c r="F52" s="35"/>
      <c r="H52" s="37" t="s">
        <v>66</v>
      </c>
      <c r="I52" s="37" t="s">
        <v>27</v>
      </c>
    </row>
    <row r="53" spans="2:9" x14ac:dyDescent="0.25">
      <c r="B53" s="35"/>
      <c r="F53" s="35"/>
      <c r="H53" s="37" t="s">
        <v>66</v>
      </c>
      <c r="I53" s="37" t="s">
        <v>27</v>
      </c>
    </row>
    <row r="54" spans="2:9" x14ac:dyDescent="0.25">
      <c r="B54" s="35"/>
      <c r="F54" s="35"/>
      <c r="H54" s="37" t="s">
        <v>66</v>
      </c>
      <c r="I54" s="37" t="s">
        <v>27</v>
      </c>
    </row>
    <row r="55" spans="2:9" x14ac:dyDescent="0.25">
      <c r="B55" s="35"/>
      <c r="F55" s="35"/>
      <c r="H55" s="37" t="s">
        <v>199</v>
      </c>
      <c r="I55" s="37" t="s">
        <v>27</v>
      </c>
    </row>
    <row r="56" spans="2:9" x14ac:dyDescent="0.25">
      <c r="B56" s="35"/>
      <c r="F56" s="35"/>
      <c r="H56" s="37" t="s">
        <v>55</v>
      </c>
      <c r="I56" s="37" t="s">
        <v>27</v>
      </c>
    </row>
    <row r="57" spans="2:9" x14ac:dyDescent="0.25">
      <c r="B57" s="35"/>
      <c r="F57" s="35"/>
      <c r="H57" s="37" t="s">
        <v>60</v>
      </c>
      <c r="I57" s="37" t="s">
        <v>27</v>
      </c>
    </row>
    <row r="58" spans="2:9" x14ac:dyDescent="0.25">
      <c r="B58" s="35"/>
      <c r="F58" s="35"/>
      <c r="H58" s="37" t="s">
        <v>60</v>
      </c>
      <c r="I58" s="37" t="s">
        <v>27</v>
      </c>
    </row>
    <row r="59" spans="2:9" x14ac:dyDescent="0.25">
      <c r="B59" s="35"/>
      <c r="F59" s="35"/>
      <c r="H59" s="37" t="s">
        <v>60</v>
      </c>
      <c r="I59" s="37" t="s">
        <v>27</v>
      </c>
    </row>
    <row r="60" spans="2:9" x14ac:dyDescent="0.25">
      <c r="B60" s="35"/>
      <c r="F60" s="35"/>
      <c r="H60" s="37" t="s">
        <v>60</v>
      </c>
      <c r="I60" s="37" t="s">
        <v>27</v>
      </c>
    </row>
    <row r="61" spans="2:9" x14ac:dyDescent="0.25">
      <c r="B61" s="35"/>
      <c r="F61" s="35"/>
      <c r="H61" s="37" t="s">
        <v>60</v>
      </c>
      <c r="I61" s="37" t="s">
        <v>27</v>
      </c>
    </row>
    <row r="62" spans="2:9" x14ac:dyDescent="0.25">
      <c r="B62" s="35"/>
      <c r="F62" s="35"/>
      <c r="H62" s="37" t="s">
        <v>98</v>
      </c>
      <c r="I62" s="37" t="s">
        <v>27</v>
      </c>
    </row>
    <row r="63" spans="2:9" x14ac:dyDescent="0.25">
      <c r="B63" s="35"/>
      <c r="F63" s="35"/>
      <c r="H63" s="37" t="s">
        <v>98</v>
      </c>
      <c r="I63" s="37" t="s">
        <v>27</v>
      </c>
    </row>
    <row r="64" spans="2:9" x14ac:dyDescent="0.25">
      <c r="B64" s="35"/>
      <c r="F64" s="35"/>
      <c r="H64" s="37" t="s">
        <v>98</v>
      </c>
      <c r="I64" s="37" t="s">
        <v>27</v>
      </c>
    </row>
    <row r="65" spans="2:9" x14ac:dyDescent="0.25">
      <c r="B65" s="35"/>
      <c r="F65" s="35"/>
      <c r="H65" s="37" t="s">
        <v>214</v>
      </c>
      <c r="I65" s="37" t="s">
        <v>27</v>
      </c>
    </row>
    <row r="66" spans="2:9" x14ac:dyDescent="0.25">
      <c r="B66" s="35"/>
      <c r="F66" s="35"/>
      <c r="H66" s="37" t="s">
        <v>214</v>
      </c>
      <c r="I66" s="37" t="s">
        <v>27</v>
      </c>
    </row>
    <row r="67" spans="2:9" x14ac:dyDescent="0.25">
      <c r="B67" s="35"/>
      <c r="F67" s="35"/>
      <c r="H67" s="37" t="s">
        <v>214</v>
      </c>
      <c r="I67" s="37" t="s">
        <v>27</v>
      </c>
    </row>
    <row r="68" spans="2:9" x14ac:dyDescent="0.25">
      <c r="B68" s="35"/>
      <c r="F68" s="35"/>
      <c r="H68" s="37" t="s">
        <v>216</v>
      </c>
      <c r="I68" s="37" t="s">
        <v>27</v>
      </c>
    </row>
    <row r="69" spans="2:9" x14ac:dyDescent="0.25">
      <c r="B69" s="35"/>
      <c r="F69" s="35"/>
      <c r="H69" s="37" t="s">
        <v>217</v>
      </c>
      <c r="I69" s="37" t="s">
        <v>27</v>
      </c>
    </row>
    <row r="70" spans="2:9" x14ac:dyDescent="0.25">
      <c r="B70" s="35"/>
      <c r="F70" s="35"/>
      <c r="H70" s="37" t="s">
        <v>141</v>
      </c>
      <c r="I70" s="37" t="s">
        <v>27</v>
      </c>
    </row>
    <row r="71" spans="2:9" x14ac:dyDescent="0.25">
      <c r="B71" s="35"/>
      <c r="F71" s="35"/>
      <c r="H71" s="37" t="s">
        <v>141</v>
      </c>
      <c r="I71" s="37" t="s">
        <v>27</v>
      </c>
    </row>
    <row r="72" spans="2:9" x14ac:dyDescent="0.25">
      <c r="B72" s="35"/>
      <c r="F72" s="35"/>
      <c r="H72" s="37" t="s">
        <v>141</v>
      </c>
      <c r="I72" s="37" t="s">
        <v>27</v>
      </c>
    </row>
    <row r="73" spans="2:9" x14ac:dyDescent="0.25">
      <c r="B73" s="35"/>
      <c r="F73" s="35"/>
      <c r="H73" s="37" t="s">
        <v>141</v>
      </c>
      <c r="I73" s="37" t="s">
        <v>27</v>
      </c>
    </row>
    <row r="74" spans="2:9" x14ac:dyDescent="0.25">
      <c r="B74" s="35"/>
      <c r="F74" s="35"/>
      <c r="H74" s="37" t="s">
        <v>223</v>
      </c>
      <c r="I74" s="37" t="s">
        <v>27</v>
      </c>
    </row>
    <row r="75" spans="2:9" x14ac:dyDescent="0.25">
      <c r="B75" s="35"/>
      <c r="F75" s="35"/>
      <c r="H75" s="37" t="s">
        <v>223</v>
      </c>
      <c r="I75" s="37" t="s">
        <v>27</v>
      </c>
    </row>
    <row r="76" spans="2:9" x14ac:dyDescent="0.25">
      <c r="B76" s="35"/>
      <c r="F76" s="35"/>
      <c r="H76" s="37" t="s">
        <v>223</v>
      </c>
      <c r="I76" s="37" t="s">
        <v>27</v>
      </c>
    </row>
    <row r="77" spans="2:9" x14ac:dyDescent="0.25">
      <c r="B77" s="35"/>
      <c r="F77" s="35"/>
      <c r="H77" s="37" t="s">
        <v>155</v>
      </c>
      <c r="I77" s="37" t="s">
        <v>27</v>
      </c>
    </row>
    <row r="78" spans="2:9" x14ac:dyDescent="0.25">
      <c r="B78" s="35"/>
      <c r="F78" s="35"/>
      <c r="H78" s="37" t="s">
        <v>256</v>
      </c>
      <c r="I78" s="37" t="s">
        <v>27</v>
      </c>
    </row>
    <row r="79" spans="2:9" x14ac:dyDescent="0.25">
      <c r="B79" s="35"/>
      <c r="F79" s="35"/>
      <c r="H79" s="37" t="s">
        <v>256</v>
      </c>
      <c r="I79" s="37" t="s">
        <v>27</v>
      </c>
    </row>
    <row r="80" spans="2:9" x14ac:dyDescent="0.25">
      <c r="B80" s="35"/>
      <c r="F80" s="35"/>
      <c r="H80" s="37" t="s">
        <v>132</v>
      </c>
      <c r="I80" s="37" t="s">
        <v>27</v>
      </c>
    </row>
    <row r="81" spans="2:9" x14ac:dyDescent="0.25">
      <c r="B81" s="35"/>
      <c r="F81" s="35"/>
      <c r="H81" s="37" t="s">
        <v>55</v>
      </c>
      <c r="I81" s="37" t="s">
        <v>27</v>
      </c>
    </row>
    <row r="82" spans="2:9" x14ac:dyDescent="0.25">
      <c r="B82" s="35"/>
      <c r="F82" s="35"/>
      <c r="H82" s="37" t="s">
        <v>55</v>
      </c>
      <c r="I82" s="37" t="s">
        <v>27</v>
      </c>
    </row>
    <row r="83" spans="2:9" x14ac:dyDescent="0.25">
      <c r="B83" s="35"/>
      <c r="F83" s="35"/>
      <c r="H83" s="37" t="s">
        <v>55</v>
      </c>
      <c r="I83" s="37" t="s">
        <v>27</v>
      </c>
    </row>
    <row r="84" spans="2:9" x14ac:dyDescent="0.25">
      <c r="B84" s="35"/>
      <c r="F84" s="35"/>
      <c r="H84" s="37" t="s">
        <v>141</v>
      </c>
      <c r="I84" s="37" t="s">
        <v>27</v>
      </c>
    </row>
    <row r="85" spans="2:9" x14ac:dyDescent="0.25">
      <c r="B85" s="35"/>
      <c r="F85" s="35"/>
      <c r="H85" s="37" t="s">
        <v>141</v>
      </c>
      <c r="I85" s="37" t="s">
        <v>27</v>
      </c>
    </row>
    <row r="86" spans="2:9" x14ac:dyDescent="0.25">
      <c r="B86" s="35"/>
      <c r="F86" s="35"/>
      <c r="H86" s="37" t="s">
        <v>91</v>
      </c>
      <c r="I86" s="37" t="s">
        <v>27</v>
      </c>
    </row>
    <row r="87" spans="2:9" x14ac:dyDescent="0.25">
      <c r="B87" s="35"/>
      <c r="F87" s="35"/>
      <c r="H87" s="37" t="s">
        <v>91</v>
      </c>
      <c r="I87" s="37" t="s">
        <v>27</v>
      </c>
    </row>
    <row r="88" spans="2:9" x14ac:dyDescent="0.25">
      <c r="B88" s="35"/>
      <c r="F88" s="35"/>
      <c r="H88" s="37" t="s">
        <v>188</v>
      </c>
      <c r="I88" s="37" t="s">
        <v>27</v>
      </c>
    </row>
    <row r="89" spans="2:9" x14ac:dyDescent="0.25">
      <c r="B89" s="35"/>
      <c r="F89" s="35"/>
      <c r="H89" s="37" t="s">
        <v>60</v>
      </c>
      <c r="I89" s="37" t="s">
        <v>27</v>
      </c>
    </row>
    <row r="90" spans="2:9" x14ac:dyDescent="0.25">
      <c r="B90" s="35"/>
      <c r="F90" s="35"/>
      <c r="H90" s="37" t="s">
        <v>60</v>
      </c>
      <c r="I90" s="37" t="s">
        <v>27</v>
      </c>
    </row>
    <row r="91" spans="2:9" x14ac:dyDescent="0.25">
      <c r="B91" s="35"/>
      <c r="F91" s="35"/>
      <c r="H91" s="37" t="s">
        <v>60</v>
      </c>
      <c r="I91" s="37" t="s">
        <v>27</v>
      </c>
    </row>
    <row r="92" spans="2:9" x14ac:dyDescent="0.25">
      <c r="B92" s="35"/>
      <c r="F92" s="35"/>
      <c r="H92" s="37" t="s">
        <v>108</v>
      </c>
      <c r="I92" s="37" t="s">
        <v>27</v>
      </c>
    </row>
    <row r="93" spans="2:9" x14ac:dyDescent="0.25">
      <c r="B93" s="35"/>
      <c r="F93" s="35"/>
      <c r="H93" s="37" t="s">
        <v>108</v>
      </c>
      <c r="I93" s="37" t="s">
        <v>27</v>
      </c>
    </row>
    <row r="94" spans="2:9" x14ac:dyDescent="0.25">
      <c r="B94" s="35"/>
      <c r="F94" s="35"/>
      <c r="H94" s="37" t="s">
        <v>174</v>
      </c>
      <c r="I94" s="37" t="s">
        <v>27</v>
      </c>
    </row>
    <row r="95" spans="2:9" x14ac:dyDescent="0.25">
      <c r="B95" s="35"/>
      <c r="F95" s="35"/>
      <c r="H95" s="37" t="s">
        <v>174</v>
      </c>
      <c r="I95" s="37" t="s">
        <v>27</v>
      </c>
    </row>
    <row r="96" spans="2:9" x14ac:dyDescent="0.25">
      <c r="B96" s="35"/>
      <c r="F96" s="35"/>
      <c r="H96" s="37" t="s">
        <v>101</v>
      </c>
      <c r="I96" s="37" t="s">
        <v>27</v>
      </c>
    </row>
    <row r="97" spans="2:9" x14ac:dyDescent="0.25">
      <c r="B97" s="35"/>
      <c r="F97" s="35"/>
      <c r="H97" s="37" t="s">
        <v>129</v>
      </c>
      <c r="I97" s="37" t="s">
        <v>27</v>
      </c>
    </row>
    <row r="98" spans="2:9" x14ac:dyDescent="0.25">
      <c r="B98" s="35"/>
      <c r="F98" s="35"/>
      <c r="H98" s="37" t="s">
        <v>246</v>
      </c>
      <c r="I98" s="37" t="s">
        <v>27</v>
      </c>
    </row>
    <row r="99" spans="2:9" x14ac:dyDescent="0.25">
      <c r="B99" s="35"/>
      <c r="F99" s="35"/>
      <c r="H99" s="37" t="s">
        <v>113</v>
      </c>
      <c r="I99" s="37" t="s">
        <v>27</v>
      </c>
    </row>
    <row r="100" spans="2:9" x14ac:dyDescent="0.25">
      <c r="B100" s="35"/>
      <c r="F100" s="35"/>
      <c r="H100" s="37" t="s">
        <v>162</v>
      </c>
      <c r="I100" s="37" t="s">
        <v>27</v>
      </c>
    </row>
    <row r="101" spans="2:9" x14ac:dyDescent="0.25">
      <c r="B101" s="35"/>
      <c r="F101" s="35"/>
      <c r="H101" s="37" t="s">
        <v>141</v>
      </c>
      <c r="I101" s="37" t="s">
        <v>27</v>
      </c>
    </row>
  </sheetData>
  <sortState ref="A2:A1048314">
    <sortCondition ref="A1"/>
  </sortState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D101"/>
  <sheetViews>
    <sheetView workbookViewId="0">
      <selection activeCell="O13" sqref="O13"/>
    </sheetView>
  </sheetViews>
  <sheetFormatPr baseColWidth="10" defaultRowHeight="15" x14ac:dyDescent="0.25"/>
  <cols>
    <col min="1" max="4" width="11.42578125" style="30"/>
  </cols>
  <sheetData>
    <row r="1" spans="1:4" x14ac:dyDescent="0.25">
      <c r="A1" s="37" t="s">
        <v>0</v>
      </c>
      <c r="B1" s="37" t="s">
        <v>4</v>
      </c>
      <c r="C1" s="37" t="s">
        <v>5</v>
      </c>
      <c r="D1" s="41" t="s">
        <v>46</v>
      </c>
    </row>
    <row r="2" spans="1:4" x14ac:dyDescent="0.25">
      <c r="A2" s="37">
        <v>1</v>
      </c>
      <c r="B2" s="38">
        <v>1.65</v>
      </c>
      <c r="C2" s="37">
        <v>55</v>
      </c>
      <c r="D2" s="37">
        <v>20.202020202020204</v>
      </c>
    </row>
    <row r="3" spans="1:4" x14ac:dyDescent="0.25">
      <c r="A3" s="37">
        <v>2</v>
      </c>
      <c r="B3" s="38">
        <v>1.8</v>
      </c>
      <c r="C3" s="37">
        <v>70</v>
      </c>
      <c r="D3" s="37">
        <v>21.604938271604937</v>
      </c>
    </row>
    <row r="4" spans="1:4" x14ac:dyDescent="0.25">
      <c r="A4" s="37">
        <v>3</v>
      </c>
      <c r="B4" s="38">
        <v>1.69</v>
      </c>
      <c r="C4" s="37">
        <v>80</v>
      </c>
      <c r="D4" s="37">
        <v>28.010223731662059</v>
      </c>
    </row>
    <row r="5" spans="1:4" x14ac:dyDescent="0.25">
      <c r="A5" s="37">
        <v>4</v>
      </c>
      <c r="B5" s="39">
        <v>1.87</v>
      </c>
      <c r="C5" s="37">
        <v>76</v>
      </c>
      <c r="D5" s="37">
        <v>21.733535417083701</v>
      </c>
    </row>
    <row r="6" spans="1:4" x14ac:dyDescent="0.25">
      <c r="A6" s="37">
        <v>5</v>
      </c>
      <c r="B6" s="38">
        <v>1.82</v>
      </c>
      <c r="C6" s="37">
        <v>93</v>
      </c>
      <c r="D6" s="37">
        <v>28.076319285110493</v>
      </c>
    </row>
    <row r="7" spans="1:4" x14ac:dyDescent="0.25">
      <c r="A7" s="37">
        <v>6</v>
      </c>
      <c r="B7" s="38">
        <v>1.71</v>
      </c>
      <c r="C7" s="37">
        <v>90</v>
      </c>
      <c r="D7" s="37">
        <v>30.778701138811947</v>
      </c>
    </row>
    <row r="8" spans="1:4" x14ac:dyDescent="0.25">
      <c r="A8" s="37">
        <v>7</v>
      </c>
      <c r="B8" s="38">
        <v>1.75</v>
      </c>
      <c r="C8" s="37">
        <v>55</v>
      </c>
      <c r="D8" s="37">
        <v>17.959183673469386</v>
      </c>
    </row>
    <row r="9" spans="1:4" x14ac:dyDescent="0.25">
      <c r="A9" s="37">
        <v>8</v>
      </c>
      <c r="B9" s="38">
        <v>1.81</v>
      </c>
      <c r="C9" s="37">
        <v>91</v>
      </c>
      <c r="D9" s="37">
        <v>27.776929886145112</v>
      </c>
    </row>
    <row r="10" spans="1:4" x14ac:dyDescent="0.25">
      <c r="A10" s="37">
        <v>9</v>
      </c>
      <c r="B10" s="38">
        <v>1.69</v>
      </c>
      <c r="C10" s="37">
        <v>60</v>
      </c>
      <c r="D10" s="37">
        <v>21.007667798746546</v>
      </c>
    </row>
    <row r="11" spans="1:4" x14ac:dyDescent="0.25">
      <c r="A11" s="37">
        <v>10</v>
      </c>
      <c r="B11" s="38">
        <v>1.9</v>
      </c>
      <c r="C11" s="37">
        <v>110</v>
      </c>
      <c r="D11" s="37">
        <v>30.470914127423825</v>
      </c>
    </row>
    <row r="12" spans="1:4" x14ac:dyDescent="0.25">
      <c r="A12" s="37">
        <v>11</v>
      </c>
      <c r="B12" s="38">
        <v>1.7</v>
      </c>
      <c r="C12" s="37">
        <v>45</v>
      </c>
      <c r="D12" s="37">
        <v>15.570934256055365</v>
      </c>
    </row>
    <row r="13" spans="1:4" x14ac:dyDescent="0.25">
      <c r="A13" s="37">
        <v>12</v>
      </c>
      <c r="B13" s="40">
        <v>1.7</v>
      </c>
      <c r="C13" s="37">
        <v>80</v>
      </c>
      <c r="D13" s="37">
        <v>27.681660899653981</v>
      </c>
    </row>
    <row r="14" spans="1:4" x14ac:dyDescent="0.25">
      <c r="A14" s="37">
        <v>13</v>
      </c>
      <c r="B14" s="38">
        <v>1.59</v>
      </c>
      <c r="C14" s="37">
        <v>80</v>
      </c>
      <c r="D14" s="37">
        <v>31.644317867172973</v>
      </c>
    </row>
    <row r="15" spans="1:4" x14ac:dyDescent="0.25">
      <c r="A15" s="37">
        <v>14</v>
      </c>
      <c r="B15" s="38">
        <v>1.82</v>
      </c>
      <c r="C15" s="37">
        <v>80</v>
      </c>
      <c r="D15" s="37">
        <v>24.151672503320853</v>
      </c>
    </row>
    <row r="16" spans="1:4" x14ac:dyDescent="0.25">
      <c r="A16" s="37">
        <v>15</v>
      </c>
      <c r="B16" s="38">
        <v>1.72</v>
      </c>
      <c r="C16" s="37">
        <v>110</v>
      </c>
      <c r="D16" s="37">
        <v>37.182260681449435</v>
      </c>
    </row>
    <row r="17" spans="1:4" x14ac:dyDescent="0.25">
      <c r="A17" s="37">
        <v>16</v>
      </c>
      <c r="B17" s="38">
        <v>1.72</v>
      </c>
      <c r="C17" s="37">
        <v>58</v>
      </c>
      <c r="D17" s="37">
        <v>19.605191995673341</v>
      </c>
    </row>
    <row r="18" spans="1:4" x14ac:dyDescent="0.25">
      <c r="A18" s="37">
        <v>17</v>
      </c>
      <c r="B18" s="38">
        <v>1.72</v>
      </c>
      <c r="C18" s="37">
        <v>78</v>
      </c>
      <c r="D18" s="37">
        <v>26.365603028664147</v>
      </c>
    </row>
    <row r="19" spans="1:4" x14ac:dyDescent="0.25">
      <c r="A19" s="37">
        <v>18</v>
      </c>
      <c r="B19" s="38">
        <v>1.55</v>
      </c>
      <c r="C19" s="37">
        <v>78</v>
      </c>
      <c r="D19" s="37">
        <v>32.46618106139438</v>
      </c>
    </row>
    <row r="20" spans="1:4" x14ac:dyDescent="0.25">
      <c r="A20" s="37">
        <v>19</v>
      </c>
      <c r="B20" s="38">
        <v>1.62</v>
      </c>
      <c r="C20" s="37">
        <v>78</v>
      </c>
      <c r="D20" s="37">
        <v>29.721079103795148</v>
      </c>
    </row>
    <row r="21" spans="1:4" x14ac:dyDescent="0.25">
      <c r="A21" s="37">
        <v>20</v>
      </c>
      <c r="B21" s="38">
        <v>1.3</v>
      </c>
      <c r="C21" s="37">
        <v>25</v>
      </c>
      <c r="D21" s="37">
        <v>14.792899408284022</v>
      </c>
    </row>
    <row r="22" spans="1:4" x14ac:dyDescent="0.25">
      <c r="A22" s="37">
        <v>21</v>
      </c>
      <c r="B22" s="38">
        <v>1.7</v>
      </c>
      <c r="C22" s="37">
        <v>95</v>
      </c>
      <c r="D22" s="37">
        <v>32.871972318339104</v>
      </c>
    </row>
    <row r="23" spans="1:4" x14ac:dyDescent="0.25">
      <c r="A23" s="37">
        <v>22</v>
      </c>
      <c r="B23" s="38">
        <v>1.7</v>
      </c>
      <c r="C23" s="37">
        <v>55</v>
      </c>
      <c r="D23" s="37">
        <v>19.031141868512112</v>
      </c>
    </row>
    <row r="24" spans="1:4" x14ac:dyDescent="0.25">
      <c r="A24" s="37">
        <v>23</v>
      </c>
      <c r="B24" s="38">
        <v>1.67</v>
      </c>
      <c r="C24" s="37">
        <v>115</v>
      </c>
      <c r="D24" s="37">
        <v>41.234895478504072</v>
      </c>
    </row>
    <row r="25" spans="1:4" x14ac:dyDescent="0.25">
      <c r="A25" s="37">
        <v>24</v>
      </c>
      <c r="B25" s="38">
        <v>1.86</v>
      </c>
      <c r="C25" s="37">
        <v>115</v>
      </c>
      <c r="D25" s="37">
        <v>33.240837090993175</v>
      </c>
    </row>
    <row r="26" spans="1:4" x14ac:dyDescent="0.25">
      <c r="A26" s="37">
        <v>25</v>
      </c>
      <c r="B26" s="38">
        <v>1.86</v>
      </c>
      <c r="C26" s="37">
        <v>65</v>
      </c>
      <c r="D26" s="37">
        <v>18.78829922534397</v>
      </c>
    </row>
    <row r="27" spans="1:4" x14ac:dyDescent="0.25">
      <c r="A27" s="37">
        <v>26</v>
      </c>
      <c r="B27" s="38">
        <v>1.86</v>
      </c>
      <c r="C27" s="37">
        <v>62</v>
      </c>
      <c r="D27" s="37">
        <v>17.921146953405014</v>
      </c>
    </row>
    <row r="28" spans="1:4" x14ac:dyDescent="0.25">
      <c r="A28" s="37">
        <v>27</v>
      </c>
      <c r="B28" s="38">
        <v>1.66</v>
      </c>
      <c r="C28" s="37">
        <v>69</v>
      </c>
      <c r="D28" s="37">
        <v>25.039918710988534</v>
      </c>
    </row>
    <row r="29" spans="1:4" x14ac:dyDescent="0.25">
      <c r="A29" s="37">
        <v>28</v>
      </c>
      <c r="B29" s="38">
        <v>1.66</v>
      </c>
      <c r="C29" s="37">
        <v>80</v>
      </c>
      <c r="D29" s="37">
        <v>29.031789809841779</v>
      </c>
    </row>
    <row r="30" spans="1:4" x14ac:dyDescent="0.25">
      <c r="A30" s="37">
        <v>29</v>
      </c>
      <c r="B30" s="38">
        <v>1.55</v>
      </c>
      <c r="C30" s="37">
        <v>101</v>
      </c>
      <c r="D30" s="37">
        <v>42.039542143600414</v>
      </c>
    </row>
    <row r="31" spans="1:4" x14ac:dyDescent="0.25">
      <c r="A31" s="37">
        <v>30</v>
      </c>
      <c r="B31" s="38">
        <v>1.7</v>
      </c>
      <c r="C31" s="37">
        <v>46</v>
      </c>
      <c r="D31" s="37">
        <v>15.91695501730104</v>
      </c>
    </row>
    <row r="32" spans="1:4" x14ac:dyDescent="0.25">
      <c r="A32" s="37">
        <v>31</v>
      </c>
      <c r="B32" s="38">
        <v>1.7</v>
      </c>
      <c r="C32" s="37">
        <v>89</v>
      </c>
      <c r="D32" s="37">
        <v>30.795847750865054</v>
      </c>
    </row>
    <row r="33" spans="1:4" x14ac:dyDescent="0.25">
      <c r="A33" s="37">
        <v>32</v>
      </c>
      <c r="B33" s="38">
        <v>1.78</v>
      </c>
      <c r="C33" s="37">
        <v>89</v>
      </c>
      <c r="D33" s="37">
        <v>28.089887640449437</v>
      </c>
    </row>
    <row r="34" spans="1:4" x14ac:dyDescent="0.25">
      <c r="A34" s="37">
        <v>33</v>
      </c>
      <c r="B34" s="38">
        <v>1.78</v>
      </c>
      <c r="C34" s="37">
        <v>54</v>
      </c>
      <c r="D34" s="37">
        <v>17.043302613306402</v>
      </c>
    </row>
    <row r="35" spans="1:4" x14ac:dyDescent="0.25">
      <c r="A35" s="37">
        <v>34</v>
      </c>
      <c r="B35" s="38">
        <v>1.78</v>
      </c>
      <c r="C35" s="37">
        <v>54</v>
      </c>
      <c r="D35" s="37">
        <v>17.043302613306402</v>
      </c>
    </row>
    <row r="36" spans="1:4" x14ac:dyDescent="0.25">
      <c r="A36" s="37">
        <v>35</v>
      </c>
      <c r="B36" s="38">
        <v>1.8</v>
      </c>
      <c r="C36" s="37">
        <v>76</v>
      </c>
      <c r="D36" s="37">
        <v>23.456790123456788</v>
      </c>
    </row>
    <row r="37" spans="1:4" x14ac:dyDescent="0.25">
      <c r="A37" s="37">
        <v>36</v>
      </c>
      <c r="B37" s="38">
        <v>1.8</v>
      </c>
      <c r="C37" s="37">
        <v>103</v>
      </c>
      <c r="D37" s="37">
        <v>31.79012345679012</v>
      </c>
    </row>
    <row r="38" spans="1:4" x14ac:dyDescent="0.25">
      <c r="A38" s="37">
        <v>37</v>
      </c>
      <c r="B38" s="38">
        <v>1.59</v>
      </c>
      <c r="C38" s="37">
        <v>76</v>
      </c>
      <c r="D38" s="37">
        <v>30.062101973814325</v>
      </c>
    </row>
    <row r="39" spans="1:4" x14ac:dyDescent="0.25">
      <c r="A39" s="37">
        <v>38</v>
      </c>
      <c r="B39" s="38">
        <v>1.78</v>
      </c>
      <c r="C39" s="37">
        <v>90</v>
      </c>
      <c r="D39" s="37">
        <v>28.405504355510669</v>
      </c>
    </row>
    <row r="40" spans="1:4" x14ac:dyDescent="0.25">
      <c r="A40" s="37">
        <v>39</v>
      </c>
      <c r="B40" s="38">
        <v>1.78</v>
      </c>
      <c r="C40" s="37">
        <v>96</v>
      </c>
      <c r="D40" s="37">
        <v>30.299204645878046</v>
      </c>
    </row>
    <row r="41" spans="1:4" x14ac:dyDescent="0.25">
      <c r="A41" s="37">
        <v>40</v>
      </c>
      <c r="B41" s="38">
        <v>1.78</v>
      </c>
      <c r="C41" s="37">
        <v>87</v>
      </c>
      <c r="D41" s="37">
        <v>27.458654210326976</v>
      </c>
    </row>
    <row r="42" spans="1:4" x14ac:dyDescent="0.25">
      <c r="A42" s="37">
        <v>41</v>
      </c>
      <c r="B42" s="38">
        <v>1.78</v>
      </c>
      <c r="C42" s="37">
        <v>62</v>
      </c>
      <c r="D42" s="37">
        <v>19.568236333796236</v>
      </c>
    </row>
    <row r="43" spans="1:4" x14ac:dyDescent="0.25">
      <c r="A43" s="37">
        <v>42</v>
      </c>
      <c r="B43" s="38">
        <v>1.79</v>
      </c>
      <c r="C43" s="37">
        <v>68</v>
      </c>
      <c r="D43" s="37">
        <v>21.222808276895229</v>
      </c>
    </row>
    <row r="44" spans="1:4" x14ac:dyDescent="0.25">
      <c r="A44" s="37">
        <v>43</v>
      </c>
      <c r="B44" s="38">
        <v>1.96</v>
      </c>
      <c r="C44" s="37">
        <v>65</v>
      </c>
      <c r="D44" s="37">
        <v>16.92003331945023</v>
      </c>
    </row>
    <row r="45" spans="1:4" x14ac:dyDescent="0.25">
      <c r="A45" s="37">
        <v>44</v>
      </c>
      <c r="B45" s="38">
        <v>1.61</v>
      </c>
      <c r="C45" s="37">
        <v>65</v>
      </c>
      <c r="D45" s="37">
        <v>25.076193048107708</v>
      </c>
    </row>
    <row r="46" spans="1:4" x14ac:dyDescent="0.25">
      <c r="A46" s="37">
        <v>45</v>
      </c>
      <c r="B46" s="38">
        <v>1.61</v>
      </c>
      <c r="C46" s="37">
        <v>76</v>
      </c>
      <c r="D46" s="37">
        <v>29.319856487018246</v>
      </c>
    </row>
    <row r="47" spans="1:4" x14ac:dyDescent="0.25">
      <c r="A47" s="37">
        <v>46</v>
      </c>
      <c r="B47" s="38">
        <v>1.71</v>
      </c>
      <c r="C47" s="37">
        <v>76</v>
      </c>
      <c r="D47" s="37">
        <v>25.990903183885642</v>
      </c>
    </row>
    <row r="48" spans="1:4" x14ac:dyDescent="0.25">
      <c r="A48" s="37">
        <v>47</v>
      </c>
      <c r="B48" s="38">
        <v>1.71</v>
      </c>
      <c r="C48" s="37">
        <v>86</v>
      </c>
      <c r="D48" s="37">
        <v>29.410758865975858</v>
      </c>
    </row>
    <row r="49" spans="1:4" x14ac:dyDescent="0.25">
      <c r="A49" s="37">
        <v>48</v>
      </c>
      <c r="B49" s="38">
        <v>1.91</v>
      </c>
      <c r="C49" s="37">
        <v>80</v>
      </c>
      <c r="D49" s="37">
        <v>21.929223431375238</v>
      </c>
    </row>
    <row r="50" spans="1:4" x14ac:dyDescent="0.25">
      <c r="A50" s="37">
        <v>49</v>
      </c>
      <c r="B50" s="38">
        <v>1.91</v>
      </c>
      <c r="C50" s="37">
        <v>87</v>
      </c>
      <c r="D50" s="37">
        <v>23.848030481620569</v>
      </c>
    </row>
    <row r="51" spans="1:4" x14ac:dyDescent="0.25">
      <c r="A51" s="37">
        <v>50</v>
      </c>
      <c r="B51" s="38">
        <v>1.67</v>
      </c>
      <c r="C51" s="37">
        <v>87</v>
      </c>
      <c r="D51" s="37">
        <v>31.1950948402596</v>
      </c>
    </row>
    <row r="52" spans="1:4" x14ac:dyDescent="0.25">
      <c r="A52" s="37">
        <v>51</v>
      </c>
      <c r="B52" s="38">
        <v>1.2</v>
      </c>
      <c r="C52" s="37">
        <v>20</v>
      </c>
      <c r="D52" s="37">
        <v>13.888888888888889</v>
      </c>
    </row>
    <row r="53" spans="1:4" x14ac:dyDescent="0.25">
      <c r="A53" s="37">
        <v>52</v>
      </c>
      <c r="B53" s="38">
        <v>1.45</v>
      </c>
      <c r="C53" s="37">
        <v>42</v>
      </c>
      <c r="D53" s="37">
        <v>19.976218787158146</v>
      </c>
    </row>
    <row r="54" spans="1:4" x14ac:dyDescent="0.25">
      <c r="A54" s="37">
        <v>53</v>
      </c>
      <c r="B54" s="38">
        <v>1.45</v>
      </c>
      <c r="C54" s="37">
        <v>68</v>
      </c>
      <c r="D54" s="37">
        <v>32.342449464922709</v>
      </c>
    </row>
    <row r="55" spans="1:4" x14ac:dyDescent="0.25">
      <c r="A55" s="37">
        <v>54</v>
      </c>
      <c r="B55" s="38">
        <v>1.72</v>
      </c>
      <c r="C55" s="37">
        <v>104</v>
      </c>
      <c r="D55" s="37">
        <v>35.154137371552196</v>
      </c>
    </row>
    <row r="56" spans="1:4" x14ac:dyDescent="0.25">
      <c r="A56" s="37">
        <v>55</v>
      </c>
      <c r="B56" s="38">
        <v>1.92</v>
      </c>
      <c r="C56" s="37">
        <v>110</v>
      </c>
      <c r="D56" s="37">
        <v>29.839409722222221</v>
      </c>
    </row>
    <row r="57" spans="1:4" x14ac:dyDescent="0.25">
      <c r="A57" s="37">
        <v>56</v>
      </c>
      <c r="B57" s="38">
        <v>1.92</v>
      </c>
      <c r="C57" s="37">
        <v>89</v>
      </c>
      <c r="D57" s="37">
        <v>24.142795138888889</v>
      </c>
    </row>
    <row r="58" spans="1:4" x14ac:dyDescent="0.25">
      <c r="A58" s="37">
        <v>57</v>
      </c>
      <c r="B58" s="38">
        <v>1.62</v>
      </c>
      <c r="C58" s="37">
        <v>93</v>
      </c>
      <c r="D58" s="37">
        <v>35.436671239140367</v>
      </c>
    </row>
    <row r="59" spans="1:4" x14ac:dyDescent="0.25">
      <c r="A59" s="37">
        <v>58</v>
      </c>
      <c r="B59" s="38">
        <v>1.62</v>
      </c>
      <c r="C59" s="37">
        <v>93</v>
      </c>
      <c r="D59" s="37">
        <v>35.436671239140367</v>
      </c>
    </row>
    <row r="60" spans="1:4" x14ac:dyDescent="0.25">
      <c r="A60" s="37">
        <v>59</v>
      </c>
      <c r="B60" s="38">
        <v>1.62</v>
      </c>
      <c r="C60" s="37">
        <v>65</v>
      </c>
      <c r="D60" s="37">
        <v>24.767565919829291</v>
      </c>
    </row>
    <row r="61" spans="1:4" x14ac:dyDescent="0.25">
      <c r="A61" s="37">
        <v>60</v>
      </c>
      <c r="B61" s="38">
        <v>1.62</v>
      </c>
      <c r="C61" s="37">
        <v>65</v>
      </c>
      <c r="D61" s="37">
        <v>24.767565919829291</v>
      </c>
    </row>
    <row r="62" spans="1:4" x14ac:dyDescent="0.25">
      <c r="A62" s="37">
        <v>61</v>
      </c>
      <c r="B62" s="38">
        <v>1.87</v>
      </c>
      <c r="C62" s="37">
        <v>71</v>
      </c>
      <c r="D62" s="37">
        <v>20.303697560696612</v>
      </c>
    </row>
    <row r="63" spans="1:4" x14ac:dyDescent="0.25">
      <c r="A63" s="37">
        <v>62</v>
      </c>
      <c r="B63" s="38">
        <v>1.87</v>
      </c>
      <c r="C63" s="37">
        <v>91</v>
      </c>
      <c r="D63" s="37">
        <v>26.023048986244955</v>
      </c>
    </row>
    <row r="64" spans="1:4" x14ac:dyDescent="0.25">
      <c r="A64" s="37">
        <v>63</v>
      </c>
      <c r="B64" s="38">
        <v>1.87</v>
      </c>
      <c r="C64" s="37">
        <v>91</v>
      </c>
      <c r="D64" s="37">
        <v>26.023048986244955</v>
      </c>
    </row>
    <row r="65" spans="1:4" x14ac:dyDescent="0.25">
      <c r="A65" s="37">
        <v>64</v>
      </c>
      <c r="B65" s="38">
        <v>1.87</v>
      </c>
      <c r="C65" s="37">
        <v>91</v>
      </c>
      <c r="D65" s="37">
        <v>26.023048986244955</v>
      </c>
    </row>
    <row r="66" spans="1:4" x14ac:dyDescent="0.25">
      <c r="A66" s="37">
        <v>65</v>
      </c>
      <c r="B66" s="38">
        <v>1.87</v>
      </c>
      <c r="C66" s="37">
        <v>91</v>
      </c>
      <c r="D66" s="37">
        <v>26.023048986244955</v>
      </c>
    </row>
    <row r="67" spans="1:4" x14ac:dyDescent="0.25">
      <c r="A67" s="37">
        <v>66</v>
      </c>
      <c r="B67" s="38">
        <v>1.87</v>
      </c>
      <c r="C67" s="37">
        <v>91</v>
      </c>
      <c r="D67" s="37">
        <v>26.023048986244955</v>
      </c>
    </row>
    <row r="68" spans="1:4" x14ac:dyDescent="0.25">
      <c r="A68" s="37">
        <v>67</v>
      </c>
      <c r="B68" s="38">
        <v>1.87</v>
      </c>
      <c r="C68" s="37">
        <v>91</v>
      </c>
      <c r="D68" s="37">
        <v>26.023048986244955</v>
      </c>
    </row>
    <row r="69" spans="1:4" x14ac:dyDescent="0.25">
      <c r="A69" s="37">
        <v>68</v>
      </c>
      <c r="B69" s="38">
        <v>1.87</v>
      </c>
      <c r="C69" s="37">
        <v>91</v>
      </c>
      <c r="D69" s="37">
        <v>26.023048986244955</v>
      </c>
    </row>
    <row r="70" spans="1:4" x14ac:dyDescent="0.25">
      <c r="A70" s="37">
        <v>69</v>
      </c>
      <c r="B70" s="38">
        <v>1.87</v>
      </c>
      <c r="C70" s="37">
        <v>91</v>
      </c>
      <c r="D70" s="37">
        <v>26.023048986244955</v>
      </c>
    </row>
    <row r="71" spans="1:4" x14ac:dyDescent="0.25">
      <c r="A71" s="37">
        <v>70</v>
      </c>
      <c r="B71" s="38">
        <v>1.87</v>
      </c>
      <c r="C71" s="37">
        <v>61</v>
      </c>
      <c r="D71" s="37">
        <v>17.444021847922443</v>
      </c>
    </row>
    <row r="72" spans="1:4" x14ac:dyDescent="0.25">
      <c r="A72" s="37">
        <v>71</v>
      </c>
      <c r="B72" s="38">
        <v>1.87</v>
      </c>
      <c r="C72" s="37">
        <v>61</v>
      </c>
      <c r="D72" s="37">
        <v>17.444021847922443</v>
      </c>
    </row>
    <row r="73" spans="1:4" x14ac:dyDescent="0.25">
      <c r="A73" s="37">
        <v>72</v>
      </c>
      <c r="B73" s="38">
        <v>1.87</v>
      </c>
      <c r="C73" s="37">
        <v>61</v>
      </c>
      <c r="D73" s="37">
        <v>17.444021847922443</v>
      </c>
    </row>
    <row r="74" spans="1:4" x14ac:dyDescent="0.25">
      <c r="A74" s="37">
        <v>73</v>
      </c>
      <c r="B74" s="38">
        <v>1.95</v>
      </c>
      <c r="C74" s="37">
        <v>61</v>
      </c>
      <c r="D74" s="37">
        <v>16.042077580539122</v>
      </c>
    </row>
    <row r="75" spans="1:4" x14ac:dyDescent="0.25">
      <c r="A75" s="37">
        <v>74</v>
      </c>
      <c r="B75" s="38">
        <v>1.95</v>
      </c>
      <c r="C75" s="37">
        <v>87</v>
      </c>
      <c r="D75" s="37">
        <v>22.87968441814596</v>
      </c>
    </row>
    <row r="76" spans="1:4" x14ac:dyDescent="0.25">
      <c r="A76" s="37">
        <v>75</v>
      </c>
      <c r="B76" s="38">
        <v>1.95</v>
      </c>
      <c r="C76" s="37">
        <v>87</v>
      </c>
      <c r="D76" s="37">
        <v>22.87968441814596</v>
      </c>
    </row>
    <row r="77" spans="1:4" x14ac:dyDescent="0.25">
      <c r="A77" s="37">
        <v>76</v>
      </c>
      <c r="B77" s="38">
        <v>1.95</v>
      </c>
      <c r="C77" s="37">
        <v>87</v>
      </c>
      <c r="D77" s="37">
        <v>22.87968441814596</v>
      </c>
    </row>
    <row r="78" spans="1:4" x14ac:dyDescent="0.25">
      <c r="A78" s="37">
        <v>77</v>
      </c>
      <c r="B78" s="38">
        <v>1.56</v>
      </c>
      <c r="C78" s="37">
        <v>87</v>
      </c>
      <c r="D78" s="37">
        <v>35.749506903353051</v>
      </c>
    </row>
    <row r="79" spans="1:4" x14ac:dyDescent="0.25">
      <c r="A79" s="37">
        <v>78</v>
      </c>
      <c r="B79" s="38">
        <v>1.56</v>
      </c>
      <c r="C79" s="37">
        <v>80</v>
      </c>
      <c r="D79" s="37">
        <v>32.873109796186718</v>
      </c>
    </row>
    <row r="80" spans="1:4" x14ac:dyDescent="0.25">
      <c r="A80" s="37">
        <v>79</v>
      </c>
      <c r="B80" s="38">
        <v>1.56</v>
      </c>
      <c r="C80" s="37">
        <v>80</v>
      </c>
      <c r="D80" s="37">
        <v>32.873109796186718</v>
      </c>
    </row>
    <row r="81" spans="1:4" x14ac:dyDescent="0.25">
      <c r="A81" s="37">
        <v>80</v>
      </c>
      <c r="B81" s="38">
        <v>1.56</v>
      </c>
      <c r="C81" s="37">
        <v>80</v>
      </c>
      <c r="D81" s="37">
        <v>32.873109796186718</v>
      </c>
    </row>
    <row r="82" spans="1:4" x14ac:dyDescent="0.25">
      <c r="A82" s="37">
        <v>81</v>
      </c>
      <c r="B82" s="38">
        <v>1.56</v>
      </c>
      <c r="C82" s="37">
        <v>56</v>
      </c>
      <c r="D82" s="37">
        <v>23.011176857330703</v>
      </c>
    </row>
    <row r="83" spans="1:4" x14ac:dyDescent="0.25">
      <c r="A83" s="37">
        <v>82</v>
      </c>
      <c r="B83" s="38">
        <v>1.76</v>
      </c>
      <c r="C83" s="37">
        <v>40</v>
      </c>
      <c r="D83" s="37">
        <v>12.913223140495868</v>
      </c>
    </row>
    <row r="84" spans="1:4" x14ac:dyDescent="0.25">
      <c r="A84" s="37">
        <v>83</v>
      </c>
      <c r="B84" s="38">
        <v>1.95</v>
      </c>
      <c r="C84" s="37">
        <v>51</v>
      </c>
      <c r="D84" s="37">
        <v>13.412228796844182</v>
      </c>
    </row>
    <row r="85" spans="1:4" x14ac:dyDescent="0.25">
      <c r="A85" s="37">
        <v>84</v>
      </c>
      <c r="B85" s="38">
        <v>1.95</v>
      </c>
      <c r="C85" s="37">
        <v>51</v>
      </c>
      <c r="D85" s="37">
        <v>13.412228796844182</v>
      </c>
    </row>
    <row r="86" spans="1:4" x14ac:dyDescent="0.25">
      <c r="A86" s="37">
        <v>85</v>
      </c>
      <c r="B86" s="38">
        <v>1.85</v>
      </c>
      <c r="C86" s="37">
        <v>71</v>
      </c>
      <c r="D86" s="37">
        <v>20.74506939371804</v>
      </c>
    </row>
    <row r="87" spans="1:4" x14ac:dyDescent="0.25">
      <c r="A87" s="37">
        <v>86</v>
      </c>
      <c r="B87" s="38">
        <v>1.55</v>
      </c>
      <c r="C87" s="37">
        <v>71</v>
      </c>
      <c r="D87" s="37">
        <v>29.552549427679498</v>
      </c>
    </row>
    <row r="88" spans="1:4" x14ac:dyDescent="0.25">
      <c r="A88" s="37">
        <v>87</v>
      </c>
      <c r="B88" s="38">
        <v>1.55</v>
      </c>
      <c r="C88" s="37">
        <v>71</v>
      </c>
      <c r="D88" s="37">
        <v>29.552549427679498</v>
      </c>
    </row>
    <row r="89" spans="1:4" x14ac:dyDescent="0.25">
      <c r="A89" s="37">
        <v>88</v>
      </c>
      <c r="B89" s="40">
        <v>1.65</v>
      </c>
      <c r="C89" s="37">
        <v>71</v>
      </c>
      <c r="D89" s="37">
        <v>26.078971500000002</v>
      </c>
    </row>
    <row r="90" spans="1:4" x14ac:dyDescent="0.25">
      <c r="A90" s="37">
        <v>89</v>
      </c>
      <c r="B90" s="38">
        <v>1.65</v>
      </c>
      <c r="C90" s="37">
        <v>81</v>
      </c>
      <c r="D90" s="37">
        <v>29.752066115702483</v>
      </c>
    </row>
    <row r="91" spans="1:4" x14ac:dyDescent="0.25">
      <c r="A91" s="37">
        <v>90</v>
      </c>
      <c r="B91" s="38">
        <v>1.75</v>
      </c>
      <c r="C91" s="37">
        <v>91</v>
      </c>
      <c r="D91" s="37">
        <v>29.714285714285715</v>
      </c>
    </row>
    <row r="92" spans="1:4" x14ac:dyDescent="0.25">
      <c r="A92" s="37">
        <v>91</v>
      </c>
      <c r="B92" s="38">
        <v>1.6</v>
      </c>
      <c r="C92" s="37">
        <v>91</v>
      </c>
      <c r="D92" s="37">
        <v>35.546874999999993</v>
      </c>
    </row>
    <row r="93" spans="1:4" x14ac:dyDescent="0.25">
      <c r="A93" s="37">
        <v>92</v>
      </c>
      <c r="B93" s="38">
        <v>1.73</v>
      </c>
      <c r="C93" s="37">
        <v>72</v>
      </c>
      <c r="D93" s="37">
        <v>24.056934745564501</v>
      </c>
    </row>
    <row r="94" spans="1:4" x14ac:dyDescent="0.25">
      <c r="A94" s="37">
        <v>93</v>
      </c>
      <c r="B94" s="38">
        <v>1.87</v>
      </c>
      <c r="C94" s="37">
        <v>59</v>
      </c>
      <c r="D94" s="37">
        <v>16.872086705367607</v>
      </c>
    </row>
    <row r="95" spans="1:4" x14ac:dyDescent="0.25">
      <c r="A95" s="37">
        <v>94</v>
      </c>
      <c r="B95" s="38">
        <v>1.8</v>
      </c>
      <c r="C95" s="37">
        <v>91</v>
      </c>
      <c r="D95" s="37">
        <v>28.086419753086417</v>
      </c>
    </row>
    <row r="96" spans="1:4" x14ac:dyDescent="0.25">
      <c r="A96" s="37">
        <v>95</v>
      </c>
      <c r="B96" s="38">
        <v>1.8</v>
      </c>
      <c r="C96" s="37">
        <v>54</v>
      </c>
      <c r="D96" s="37">
        <v>16.666666666666664</v>
      </c>
    </row>
    <row r="97" spans="1:4" x14ac:dyDescent="0.25">
      <c r="A97" s="37">
        <v>96</v>
      </c>
      <c r="B97" s="38">
        <v>1.8</v>
      </c>
      <c r="C97" s="37">
        <v>84</v>
      </c>
      <c r="D97" s="37">
        <v>25.925925925925924</v>
      </c>
    </row>
    <row r="98" spans="1:4" x14ac:dyDescent="0.25">
      <c r="A98" s="37">
        <v>97</v>
      </c>
      <c r="B98" s="38">
        <v>1.8</v>
      </c>
      <c r="C98" s="37">
        <v>84</v>
      </c>
      <c r="D98" s="37">
        <v>25.925925925925924</v>
      </c>
    </row>
    <row r="99" spans="1:4" x14ac:dyDescent="0.25">
      <c r="A99" s="37">
        <v>98</v>
      </c>
      <c r="B99" s="38">
        <v>1.65</v>
      </c>
      <c r="C99" s="37">
        <v>96</v>
      </c>
      <c r="D99" s="37">
        <v>35.261707988980717</v>
      </c>
    </row>
    <row r="100" spans="1:4" x14ac:dyDescent="0.25">
      <c r="A100" s="37">
        <v>99</v>
      </c>
      <c r="B100" s="38">
        <v>1.65</v>
      </c>
      <c r="C100" s="37">
        <v>61</v>
      </c>
      <c r="D100" s="37">
        <v>22.4058769513315</v>
      </c>
    </row>
    <row r="101" spans="1:4" x14ac:dyDescent="0.25">
      <c r="A101" s="37">
        <v>100</v>
      </c>
      <c r="B101" s="38">
        <v>1.17</v>
      </c>
      <c r="C101" s="37">
        <v>116</v>
      </c>
      <c r="D101" s="37">
        <v>84.739571919059117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2</vt:i4>
      </vt:variant>
    </vt:vector>
  </HeadingPairs>
  <TitlesOfParts>
    <vt:vector size="19" baseType="lpstr">
      <vt:lpstr>acceuil</vt:lpstr>
      <vt:lpstr>Feuil1</vt:lpstr>
      <vt:lpstr>brastrait</vt:lpstr>
      <vt:lpstr>sexe</vt:lpstr>
      <vt:lpstr>restg</vt:lpstr>
      <vt:lpstr>gepaisse</vt:lpstr>
      <vt:lpstr>spot_sang</vt:lpstr>
      <vt:lpstr>eindes</vt:lpstr>
      <vt:lpstr>intensite</vt:lpstr>
      <vt:lpstr>gravite</vt:lpstr>
      <vt:lpstr>actpriseel</vt:lpstr>
      <vt:lpstr>devsuiteel</vt:lpstr>
      <vt:lpstr>relavectrait</vt:lpstr>
      <vt:lpstr>tableau maigreur et surpoids</vt:lpstr>
      <vt:lpstr>graphique</vt:lpstr>
      <vt:lpstr>grapheMedic</vt:lpstr>
      <vt:lpstr>nuage_de_points</vt:lpstr>
      <vt:lpstr>Feuil1!Criteres</vt:lpstr>
      <vt:lpstr>listDonnees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£NRON</dc:creator>
  <cp:lastModifiedBy>Bilal</cp:lastModifiedBy>
  <dcterms:created xsi:type="dcterms:W3CDTF">2025-03-21T21:06:11Z</dcterms:created>
  <dcterms:modified xsi:type="dcterms:W3CDTF">2020-03-26T20:07:10Z</dcterms:modified>
</cp:coreProperties>
</file>